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repositorio GC\EXCEL puentes\"/>
    </mc:Choice>
  </mc:AlternateContent>
  <xr:revisionPtr revIDLastSave="0" documentId="13_ncr:1_{E344DB3D-8505-4763-9120-1084925225B7}" xr6:coauthVersionLast="45" xr6:coauthVersionMax="45" xr10:uidLastSave="{00000000-0000-0000-0000-000000000000}"/>
  <bookViews>
    <workbookView xWindow="-120" yWindow="-120" windowWidth="29040" windowHeight="15840" activeTab="4" xr2:uid="{00000000-000D-0000-FFFF-FFFF00000000}"/>
  </bookViews>
  <sheets>
    <sheet name="load com" sheetId="1" r:id="rId1"/>
    <sheet name="var sizes" sheetId="2" r:id="rId2"/>
    <sheet name="fac. resitencia" sheetId="3" r:id="rId3"/>
    <sheet name="influencia momentos" sheetId="7" r:id="rId4"/>
    <sheet name="influencia corte (2)" sheetId="15" r:id="rId5"/>
  </sheets>
  <functionGroups builtInGroupCount="19"/>
  <definedNames>
    <definedName name="_xlnm.Print_Area" localSheetId="4">'influencia corte (2)'!$B$1:$M$93</definedName>
    <definedName name="_xlnm.Print_Area" localSheetId="3">'influencia momentos'!$B$1:$H$109</definedName>
  </definedNames>
  <calcPr calcId="181029"/>
</workbook>
</file>

<file path=xl/calcChain.xml><?xml version="1.0" encoding="utf-8"?>
<calcChain xmlns="http://schemas.openxmlformats.org/spreadsheetml/2006/main">
  <c r="E75" i="7" l="1"/>
  <c r="D3" i="15" l="1"/>
  <c r="D4" i="15"/>
  <c r="D5" i="15"/>
  <c r="D2" i="15"/>
  <c r="B9" i="15" l="1"/>
  <c r="B10" i="15" s="1"/>
  <c r="J68" i="15"/>
  <c r="I68" i="15"/>
  <c r="B11" i="15" l="1"/>
  <c r="B12" i="15" l="1"/>
  <c r="B13" i="15" l="1"/>
  <c r="B14" i="15" l="1"/>
  <c r="B15" i="15" l="1"/>
  <c r="B16" i="15" l="1"/>
  <c r="B17" i="15" l="1"/>
  <c r="B18" i="15" l="1"/>
  <c r="B19" i="15" l="1"/>
  <c r="B20" i="15" l="1"/>
  <c r="B21" i="15" l="1"/>
  <c r="B22" i="15" l="1"/>
  <c r="B23" i="15" l="1"/>
  <c r="B24" i="15" l="1"/>
  <c r="B25" i="15" l="1"/>
  <c r="B26" i="15" l="1"/>
  <c r="B27" i="15" l="1"/>
  <c r="B28" i="15" l="1"/>
  <c r="B29" i="15" l="1"/>
  <c r="B30" i="15" l="1"/>
  <c r="B31" i="15" l="1"/>
  <c r="B32" i="15" l="1"/>
  <c r="B33" i="15" l="1"/>
  <c r="B34" i="15" l="1"/>
  <c r="B35" i="15" l="1"/>
  <c r="B36" i="15" l="1"/>
  <c r="B37" i="15" l="1"/>
  <c r="B38" i="15" l="1"/>
  <c r="B39" i="15" l="1"/>
  <c r="B40" i="15" l="1"/>
  <c r="B41" i="15" l="1"/>
  <c r="B42" i="15" l="1"/>
  <c r="B43" i="15" l="1"/>
  <c r="B44" i="15" l="1"/>
  <c r="B45" i="15" l="1"/>
  <c r="B46" i="15" l="1"/>
  <c r="B47" i="15" l="1"/>
  <c r="B48" i="15" l="1"/>
  <c r="B49" i="15" l="1"/>
  <c r="B50" i="15" l="1"/>
  <c r="B51" i="15" l="1"/>
  <c r="B52" i="15" l="1"/>
  <c r="B53" i="15" l="1"/>
  <c r="B54" i="15" l="1"/>
  <c r="B55" i="15" l="1"/>
  <c r="B56" i="15" l="1"/>
  <c r="B57" i="15" l="1"/>
  <c r="B58" i="15" l="1"/>
  <c r="B59" i="15" l="1"/>
  <c r="B60" i="15" l="1"/>
  <c r="B61" i="15" l="1"/>
  <c r="B62" i="15" l="1"/>
  <c r="B63" i="15" l="1"/>
  <c r="B64" i="15" l="1"/>
  <c r="B65" i="15" l="1"/>
  <c r="B66" i="15" l="1"/>
  <c r="C66" i="15" l="1"/>
  <c r="B67" i="15"/>
  <c r="C63" i="15"/>
  <c r="C58" i="15"/>
  <c r="C61" i="15"/>
  <c r="C64" i="15"/>
  <c r="C62" i="15"/>
  <c r="D62" i="15"/>
  <c r="I61" i="15"/>
  <c r="J61" i="15"/>
  <c r="I63" i="15"/>
  <c r="I58" i="15"/>
  <c r="E66" i="15"/>
  <c r="J62" i="15"/>
  <c r="D58" i="15"/>
  <c r="E58" i="15"/>
  <c r="I64" i="15"/>
  <c r="D66" i="15"/>
  <c r="I66" i="15"/>
  <c r="J64" i="15"/>
  <c r="E61" i="15"/>
  <c r="D63" i="15"/>
  <c r="J66" i="15"/>
  <c r="E63" i="15"/>
  <c r="D64" i="15"/>
  <c r="D61" i="15"/>
  <c r="J58" i="15"/>
  <c r="I62" i="15"/>
  <c r="E64" i="15"/>
  <c r="E62" i="15"/>
  <c r="J63" i="15"/>
  <c r="K61" i="15" l="1"/>
  <c r="L61" i="15"/>
  <c r="L66" i="15"/>
  <c r="K66" i="15"/>
  <c r="L58" i="15"/>
  <c r="K58" i="15"/>
  <c r="L62" i="15"/>
  <c r="K62" i="15"/>
  <c r="K63" i="15"/>
  <c r="L63" i="15"/>
  <c r="L64" i="15"/>
  <c r="K64" i="15"/>
  <c r="F61" i="15"/>
  <c r="H61" i="15" s="1"/>
  <c r="F66" i="15"/>
  <c r="G66" i="15" s="1"/>
  <c r="F58" i="15"/>
  <c r="G58" i="15" s="1"/>
  <c r="F62" i="15"/>
  <c r="G62" i="15" s="1"/>
  <c r="F63" i="15"/>
  <c r="H63" i="15" s="1"/>
  <c r="F64" i="15"/>
  <c r="G64" i="15" s="1"/>
  <c r="C67" i="15"/>
  <c r="C9" i="15"/>
  <c r="C10" i="15"/>
  <c r="C7" i="15"/>
  <c r="C11" i="15"/>
  <c r="C8" i="15"/>
  <c r="C13" i="15"/>
  <c r="C12" i="15"/>
  <c r="C15" i="15"/>
  <c r="C14" i="15"/>
  <c r="C16" i="15"/>
  <c r="C18" i="15"/>
  <c r="C20" i="15"/>
  <c r="C17" i="15"/>
  <c r="C19" i="15"/>
  <c r="C21" i="15"/>
  <c r="C22" i="15"/>
  <c r="C23" i="15"/>
  <c r="C24" i="15"/>
  <c r="C25" i="15"/>
  <c r="C26" i="15"/>
  <c r="C29" i="15"/>
  <c r="C28" i="15"/>
  <c r="C27" i="15"/>
  <c r="C30" i="15"/>
  <c r="C31" i="15"/>
  <c r="C32" i="15"/>
  <c r="C34" i="15"/>
  <c r="C33" i="15"/>
  <c r="C36" i="15"/>
  <c r="C35" i="15"/>
  <c r="C37" i="15"/>
  <c r="C40" i="15"/>
  <c r="C38" i="15"/>
  <c r="C39" i="15"/>
  <c r="C41" i="15"/>
  <c r="C42" i="15"/>
  <c r="C45" i="15"/>
  <c r="C43" i="15"/>
  <c r="C44" i="15"/>
  <c r="C46" i="15"/>
  <c r="C47" i="15"/>
  <c r="C49" i="15"/>
  <c r="C48" i="15"/>
  <c r="C51" i="15"/>
  <c r="C50" i="15"/>
  <c r="C52" i="15"/>
  <c r="C53" i="15"/>
  <c r="C54" i="15"/>
  <c r="C55" i="15"/>
  <c r="C56" i="15"/>
  <c r="C65" i="15"/>
  <c r="C59" i="15"/>
  <c r="C57" i="15"/>
  <c r="C60" i="15"/>
  <c r="I44" i="15"/>
  <c r="J24" i="15"/>
  <c r="I18" i="15"/>
  <c r="D36" i="15"/>
  <c r="I48" i="15"/>
  <c r="J57" i="15"/>
  <c r="I38" i="15"/>
  <c r="D23" i="15"/>
  <c r="J56" i="15"/>
  <c r="I30" i="15"/>
  <c r="I50" i="15"/>
  <c r="I7" i="15"/>
  <c r="E44" i="15"/>
  <c r="D29" i="15"/>
  <c r="I12" i="15"/>
  <c r="D16" i="15"/>
  <c r="I26" i="15"/>
  <c r="E51" i="15"/>
  <c r="E41" i="15"/>
  <c r="I55" i="15"/>
  <c r="D37" i="15"/>
  <c r="I32" i="15"/>
  <c r="J38" i="15"/>
  <c r="I36" i="15"/>
  <c r="D56" i="15"/>
  <c r="D48" i="15"/>
  <c r="D47" i="15"/>
  <c r="J21" i="15"/>
  <c r="J36" i="15"/>
  <c r="I41" i="15"/>
  <c r="J67" i="15"/>
  <c r="I34" i="15"/>
  <c r="E47" i="15"/>
  <c r="J55" i="15"/>
  <c r="D51" i="15"/>
  <c r="D24" i="15"/>
  <c r="I65" i="15"/>
  <c r="D65" i="15"/>
  <c r="J10" i="15"/>
  <c r="J25" i="15"/>
  <c r="D57" i="15"/>
  <c r="D60" i="15"/>
  <c r="I27" i="15"/>
  <c r="E23" i="15"/>
  <c r="E40" i="15"/>
  <c r="D41" i="15"/>
  <c r="E59" i="15"/>
  <c r="D50" i="15"/>
  <c r="D39" i="15"/>
  <c r="J60" i="15"/>
  <c r="E52" i="15"/>
  <c r="D40" i="15"/>
  <c r="J32" i="15"/>
  <c r="E37" i="15"/>
  <c r="D8" i="15"/>
  <c r="J17" i="15"/>
  <c r="D46" i="15"/>
  <c r="I19" i="15"/>
  <c r="I60" i="15"/>
  <c r="I51" i="15"/>
  <c r="D28" i="15"/>
  <c r="I67" i="15"/>
  <c r="E26" i="15"/>
  <c r="E60" i="15"/>
  <c r="J8" i="15"/>
  <c r="E67" i="15"/>
  <c r="E15" i="15"/>
  <c r="D67" i="15"/>
  <c r="E25" i="15"/>
  <c r="J44" i="15"/>
  <c r="E46" i="15"/>
  <c r="D53" i="15"/>
  <c r="J39" i="15"/>
  <c r="J7" i="15"/>
  <c r="E29" i="15"/>
  <c r="I25" i="15"/>
  <c r="J16" i="15"/>
  <c r="D33" i="15"/>
  <c r="D55" i="15"/>
  <c r="E42" i="15"/>
  <c r="J48" i="15"/>
  <c r="J50" i="15"/>
  <c r="I14" i="15"/>
  <c r="E48" i="15"/>
  <c r="E16" i="15"/>
  <c r="E31" i="15"/>
  <c r="I17" i="15"/>
  <c r="E28" i="15"/>
  <c r="D20" i="15"/>
  <c r="J42" i="15"/>
  <c r="I16" i="15"/>
  <c r="E17" i="15"/>
  <c r="J14" i="15"/>
  <c r="E24" i="15"/>
  <c r="J31" i="15"/>
  <c r="E39" i="15"/>
  <c r="D44" i="15"/>
  <c r="J22" i="15"/>
  <c r="I20" i="15"/>
  <c r="D12" i="15"/>
  <c r="J12" i="15"/>
  <c r="J59" i="15"/>
  <c r="E21" i="15"/>
  <c r="E33" i="15"/>
  <c r="E18" i="15"/>
  <c r="D43" i="15"/>
  <c r="I8" i="15"/>
  <c r="J13" i="15"/>
  <c r="I39" i="15"/>
  <c r="I37" i="15"/>
  <c r="I21" i="15"/>
  <c r="D35" i="15"/>
  <c r="I22" i="15"/>
  <c r="I28" i="15"/>
  <c r="D10" i="15"/>
  <c r="I54" i="15"/>
  <c r="J51" i="15"/>
  <c r="D30" i="15"/>
  <c r="I42" i="15"/>
  <c r="D11" i="15"/>
  <c r="I29" i="15"/>
  <c r="J52" i="15"/>
  <c r="J47" i="15"/>
  <c r="I33" i="15"/>
  <c r="D31" i="15"/>
  <c r="J41" i="15"/>
  <c r="D42" i="15"/>
  <c r="D13" i="15"/>
  <c r="E7" i="15"/>
  <c r="D52" i="15"/>
  <c r="E27" i="15"/>
  <c r="D21" i="15"/>
  <c r="D14" i="15"/>
  <c r="D26" i="15"/>
  <c r="I46" i="15"/>
  <c r="J23" i="15"/>
  <c r="D9" i="15"/>
  <c r="J46" i="15"/>
  <c r="I47" i="15"/>
  <c r="D45" i="15"/>
  <c r="E22" i="15"/>
  <c r="E12" i="15"/>
  <c r="I59" i="15"/>
  <c r="I45" i="15"/>
  <c r="I52" i="15"/>
  <c r="J26" i="15"/>
  <c r="J28" i="15"/>
  <c r="I53" i="15"/>
  <c r="E50" i="15"/>
  <c r="I23" i="15"/>
  <c r="E56" i="15"/>
  <c r="J35" i="15"/>
  <c r="I24" i="15"/>
  <c r="I11" i="15"/>
  <c r="E14" i="15"/>
  <c r="I40" i="15"/>
  <c r="D54" i="15"/>
  <c r="E55" i="15"/>
  <c r="I31" i="15"/>
  <c r="I35" i="15"/>
  <c r="J65" i="15"/>
  <c r="E49" i="15"/>
  <c r="J37" i="15"/>
  <c r="D32" i="15"/>
  <c r="I9" i="15"/>
  <c r="D34" i="15"/>
  <c r="J11" i="15"/>
  <c r="E57" i="15"/>
  <c r="E36" i="15"/>
  <c r="J27" i="15"/>
  <c r="J15" i="15"/>
  <c r="D49" i="15"/>
  <c r="E13" i="15"/>
  <c r="E35" i="15"/>
  <c r="E8" i="15"/>
  <c r="D59" i="15"/>
  <c r="E45" i="15"/>
  <c r="E34" i="15"/>
  <c r="D38" i="15"/>
  <c r="E54" i="15"/>
  <c r="D7" i="15"/>
  <c r="I43" i="15"/>
  <c r="E19" i="15"/>
  <c r="J53" i="15"/>
  <c r="E32" i="15"/>
  <c r="D18" i="15"/>
  <c r="D22" i="15"/>
  <c r="I10" i="15"/>
  <c r="D25" i="15"/>
  <c r="I15" i="15"/>
  <c r="J29" i="15"/>
  <c r="D27" i="15"/>
  <c r="J9" i="15"/>
  <c r="I56" i="15"/>
  <c r="J45" i="15"/>
  <c r="I13" i="15"/>
  <c r="E53" i="15"/>
  <c r="E10" i="15"/>
  <c r="D19" i="15"/>
  <c r="J19" i="15"/>
  <c r="D17" i="15"/>
  <c r="E11" i="15"/>
  <c r="J54" i="15"/>
  <c r="J49" i="15"/>
  <c r="E30" i="15"/>
  <c r="J18" i="15"/>
  <c r="J43" i="15"/>
  <c r="E65" i="15"/>
  <c r="I57" i="15"/>
  <c r="E20" i="15"/>
  <c r="J20" i="15"/>
  <c r="J30" i="15"/>
  <c r="I49" i="15"/>
  <c r="E38" i="15"/>
  <c r="D15" i="15"/>
  <c r="J34" i="15"/>
  <c r="E43" i="15"/>
  <c r="E9" i="15"/>
  <c r="J33" i="15"/>
  <c r="J40" i="15"/>
  <c r="H64" i="15" l="1"/>
  <c r="M63" i="15"/>
  <c r="M61" i="15"/>
  <c r="M64" i="15"/>
  <c r="M62" i="15"/>
  <c r="M66" i="15"/>
  <c r="K57" i="15"/>
  <c r="L57" i="15"/>
  <c r="L50" i="15"/>
  <c r="K50" i="15"/>
  <c r="L38" i="15"/>
  <c r="K38" i="15"/>
  <c r="L29" i="15"/>
  <c r="K29" i="15"/>
  <c r="K17" i="15"/>
  <c r="L17" i="15"/>
  <c r="L9" i="15"/>
  <c r="K9" i="15"/>
  <c r="L54" i="15"/>
  <c r="K54" i="15"/>
  <c r="L42" i="15"/>
  <c r="K42" i="15"/>
  <c r="L33" i="15"/>
  <c r="K33" i="15"/>
  <c r="K22" i="15"/>
  <c r="L22" i="15"/>
  <c r="K15" i="15"/>
  <c r="L15" i="15"/>
  <c r="K67" i="15"/>
  <c r="L67" i="15"/>
  <c r="K53" i="15"/>
  <c r="L53" i="15"/>
  <c r="K41" i="15"/>
  <c r="L41" i="15"/>
  <c r="L34" i="15"/>
  <c r="K34" i="15"/>
  <c r="K27" i="15"/>
  <c r="L27" i="15"/>
  <c r="K25" i="15"/>
  <c r="L25" i="15"/>
  <c r="K21" i="15"/>
  <c r="L21" i="15"/>
  <c r="K18" i="15"/>
  <c r="L18" i="15"/>
  <c r="K12" i="15"/>
  <c r="L12" i="15"/>
  <c r="K55" i="15"/>
  <c r="L55" i="15"/>
  <c r="K47" i="15"/>
  <c r="L47" i="15"/>
  <c r="K45" i="15"/>
  <c r="L45" i="15"/>
  <c r="L36" i="15"/>
  <c r="K36" i="15"/>
  <c r="L31" i="15"/>
  <c r="K31" i="15"/>
  <c r="K23" i="15"/>
  <c r="L23" i="15"/>
  <c r="K14" i="15"/>
  <c r="L14" i="15"/>
  <c r="K8" i="15"/>
  <c r="L8" i="15"/>
  <c r="K59" i="15"/>
  <c r="L59" i="15"/>
  <c r="K51" i="15"/>
  <c r="L51" i="15"/>
  <c r="L46" i="15"/>
  <c r="K46" i="15"/>
  <c r="L40" i="15"/>
  <c r="K40" i="15"/>
  <c r="L30" i="15"/>
  <c r="K30" i="15"/>
  <c r="K26" i="15"/>
  <c r="L26" i="15"/>
  <c r="K20" i="15"/>
  <c r="L20" i="15"/>
  <c r="L11" i="15"/>
  <c r="K11" i="15"/>
  <c r="K65" i="15"/>
  <c r="L65" i="15"/>
  <c r="L48" i="15"/>
  <c r="K48" i="15"/>
  <c r="L44" i="15"/>
  <c r="K44" i="15"/>
  <c r="L37" i="15"/>
  <c r="K37" i="15"/>
  <c r="L60" i="15"/>
  <c r="K60" i="15"/>
  <c r="L56" i="15"/>
  <c r="K56" i="15"/>
  <c r="L52" i="15"/>
  <c r="K52" i="15"/>
  <c r="K49" i="15"/>
  <c r="L49" i="15"/>
  <c r="K43" i="15"/>
  <c r="L43" i="15"/>
  <c r="L39" i="15"/>
  <c r="K39" i="15"/>
  <c r="L35" i="15"/>
  <c r="L7" i="15"/>
  <c r="K7" i="15"/>
  <c r="K35" i="15"/>
  <c r="L32" i="15"/>
  <c r="K32" i="15"/>
  <c r="L28" i="15"/>
  <c r="K28" i="15"/>
  <c r="K24" i="15"/>
  <c r="L24" i="15"/>
  <c r="K19" i="15"/>
  <c r="L19" i="15"/>
  <c r="K16" i="15"/>
  <c r="L16" i="15"/>
  <c r="K13" i="15"/>
  <c r="L13" i="15"/>
  <c r="K10" i="15"/>
  <c r="L10" i="15"/>
  <c r="M58" i="15"/>
  <c r="H62" i="15"/>
  <c r="H66" i="15"/>
  <c r="F70" i="15"/>
  <c r="D68" i="15"/>
  <c r="E68" i="15"/>
  <c r="F54" i="15"/>
  <c r="H54" i="15" s="1"/>
  <c r="F46" i="15"/>
  <c r="H46" i="15" s="1"/>
  <c r="F60" i="15"/>
  <c r="H60" i="15" s="1"/>
  <c r="F56" i="15"/>
  <c r="G56" i="15" s="1"/>
  <c r="F52" i="15"/>
  <c r="H52" i="15" s="1"/>
  <c r="F49" i="15"/>
  <c r="G49" i="15" s="1"/>
  <c r="F43" i="15"/>
  <c r="G43" i="15" s="1"/>
  <c r="F39" i="15"/>
  <c r="H39" i="15" s="1"/>
  <c r="F35" i="15"/>
  <c r="G35" i="15" s="1"/>
  <c r="F32" i="15"/>
  <c r="G32" i="15" s="1"/>
  <c r="F28" i="15"/>
  <c r="H28" i="15" s="1"/>
  <c r="F24" i="15"/>
  <c r="H24" i="15" s="1"/>
  <c r="F19" i="15"/>
  <c r="H19" i="15" s="1"/>
  <c r="F16" i="15"/>
  <c r="H16" i="15" s="1"/>
  <c r="F13" i="15"/>
  <c r="H13" i="15" s="1"/>
  <c r="F10" i="15"/>
  <c r="G10" i="15" s="1"/>
  <c r="G63" i="15"/>
  <c r="H58" i="15"/>
  <c r="G61" i="15"/>
  <c r="F57" i="15"/>
  <c r="G57" i="15" s="1"/>
  <c r="F55" i="15"/>
  <c r="H55" i="15" s="1"/>
  <c r="F50" i="15"/>
  <c r="H50" i="15" s="1"/>
  <c r="F47" i="15"/>
  <c r="H47" i="15" s="1"/>
  <c r="F45" i="15"/>
  <c r="G45" i="15" s="1"/>
  <c r="F38" i="15"/>
  <c r="G38" i="15" s="1"/>
  <c r="F36" i="15"/>
  <c r="G36" i="15" s="1"/>
  <c r="F31" i="15"/>
  <c r="G31" i="15" s="1"/>
  <c r="F29" i="15"/>
  <c r="H29" i="15" s="1"/>
  <c r="F23" i="15"/>
  <c r="H23" i="15" s="1"/>
  <c r="F17" i="15"/>
  <c r="H17" i="15" s="1"/>
  <c r="F14" i="15"/>
  <c r="G14" i="15" s="1"/>
  <c r="F8" i="15"/>
  <c r="G8" i="15" s="1"/>
  <c r="F9" i="15"/>
  <c r="H9" i="15" s="1"/>
  <c r="F59" i="15"/>
  <c r="G59" i="15" s="1"/>
  <c r="F51" i="15"/>
  <c r="H51" i="15" s="1"/>
  <c r="F42" i="15"/>
  <c r="H42" i="15" s="1"/>
  <c r="F40" i="15"/>
  <c r="H40" i="15" s="1"/>
  <c r="F33" i="15"/>
  <c r="H33" i="15" s="1"/>
  <c r="F30" i="15"/>
  <c r="G30" i="15" s="1"/>
  <c r="F26" i="15"/>
  <c r="H26" i="15" s="1"/>
  <c r="F22" i="15"/>
  <c r="H22" i="15" s="1"/>
  <c r="F20" i="15"/>
  <c r="H20" i="15" s="1"/>
  <c r="F15" i="15"/>
  <c r="H15" i="15" s="1"/>
  <c r="F11" i="15"/>
  <c r="H11" i="15" s="1"/>
  <c r="F67" i="15"/>
  <c r="H67" i="15" s="1"/>
  <c r="F65" i="15"/>
  <c r="G65" i="15" s="1"/>
  <c r="F53" i="15"/>
  <c r="H53" i="15" s="1"/>
  <c r="F48" i="15"/>
  <c r="H48" i="15" s="1"/>
  <c r="F44" i="15"/>
  <c r="H44" i="15" s="1"/>
  <c r="F41" i="15"/>
  <c r="G41" i="15" s="1"/>
  <c r="F37" i="15"/>
  <c r="H37" i="15" s="1"/>
  <c r="F34" i="15"/>
  <c r="G34" i="15" s="1"/>
  <c r="F27" i="15"/>
  <c r="G27" i="15" s="1"/>
  <c r="F25" i="15"/>
  <c r="H25" i="15" s="1"/>
  <c r="F21" i="15"/>
  <c r="H21" i="15" s="1"/>
  <c r="F18" i="15"/>
  <c r="H18" i="15" s="1"/>
  <c r="F12" i="15"/>
  <c r="H12" i="15" s="1"/>
  <c r="F7" i="15"/>
  <c r="G67" i="15" l="1"/>
  <c r="G40" i="15"/>
  <c r="M13" i="15"/>
  <c r="M19" i="15"/>
  <c r="M43" i="15"/>
  <c r="M65" i="15"/>
  <c r="M20" i="15"/>
  <c r="M59" i="15"/>
  <c r="M14" i="15"/>
  <c r="M45" i="15"/>
  <c r="M55" i="15"/>
  <c r="M18" i="15"/>
  <c r="M25" i="15"/>
  <c r="M53" i="15"/>
  <c r="M15" i="15"/>
  <c r="M17" i="15"/>
  <c r="M57" i="15"/>
  <c r="G55" i="15"/>
  <c r="M32" i="15"/>
  <c r="M39" i="15"/>
  <c r="M56" i="15"/>
  <c r="M37" i="15"/>
  <c r="M48" i="15"/>
  <c r="M11" i="15"/>
  <c r="M40" i="15"/>
  <c r="M36" i="15"/>
  <c r="M42" i="15"/>
  <c r="M9" i="15"/>
  <c r="M29" i="15"/>
  <c r="M50" i="15"/>
  <c r="G16" i="15"/>
  <c r="H27" i="15"/>
  <c r="G23" i="15"/>
  <c r="G39" i="15"/>
  <c r="H56" i="15"/>
  <c r="G24" i="15"/>
  <c r="M10" i="15"/>
  <c r="M16" i="15"/>
  <c r="M24" i="15"/>
  <c r="L68" i="15"/>
  <c r="M49" i="15"/>
  <c r="M26" i="15"/>
  <c r="M51" i="15"/>
  <c r="M8" i="15"/>
  <c r="M23" i="15"/>
  <c r="M47" i="15"/>
  <c r="M12" i="15"/>
  <c r="M21" i="15"/>
  <c r="M27" i="15"/>
  <c r="M41" i="15"/>
  <c r="M67" i="15"/>
  <c r="M22" i="15"/>
  <c r="M28" i="15"/>
  <c r="M35" i="15"/>
  <c r="M52" i="15"/>
  <c r="M60" i="15"/>
  <c r="M44" i="15"/>
  <c r="M30" i="15"/>
  <c r="M46" i="15"/>
  <c r="M31" i="15"/>
  <c r="M34" i="15"/>
  <c r="M33" i="15"/>
  <c r="M54" i="15"/>
  <c r="M38" i="15"/>
  <c r="K68" i="15"/>
  <c r="M7" i="15"/>
  <c r="G46" i="15"/>
  <c r="G12" i="15"/>
  <c r="G44" i="15"/>
  <c r="G22" i="15"/>
  <c r="G9" i="15"/>
  <c r="H38" i="15"/>
  <c r="H10" i="15"/>
  <c r="H49" i="15"/>
  <c r="H32" i="15"/>
  <c r="G21" i="15"/>
  <c r="G15" i="15"/>
  <c r="H30" i="15"/>
  <c r="F69" i="15"/>
  <c r="F71" i="15" s="1"/>
  <c r="G7" i="15"/>
  <c r="G37" i="15"/>
  <c r="G53" i="15"/>
  <c r="G51" i="15"/>
  <c r="H14" i="15"/>
  <c r="H31" i="15"/>
  <c r="G47" i="15"/>
  <c r="G18" i="15"/>
  <c r="G25" i="15"/>
  <c r="H34" i="15"/>
  <c r="H41" i="15"/>
  <c r="G48" i="15"/>
  <c r="H65" i="15"/>
  <c r="G11" i="15"/>
  <c r="G20" i="15"/>
  <c r="G26" i="15"/>
  <c r="G33" i="15"/>
  <c r="G42" i="15"/>
  <c r="H59" i="15"/>
  <c r="H8" i="15"/>
  <c r="G17" i="15"/>
  <c r="G29" i="15"/>
  <c r="H36" i="15"/>
  <c r="H45" i="15"/>
  <c r="G50" i="15"/>
  <c r="H57" i="15"/>
  <c r="G13" i="15"/>
  <c r="G19" i="15"/>
  <c r="G28" i="15"/>
  <c r="H35" i="15"/>
  <c r="H43" i="15"/>
  <c r="G52" i="15"/>
  <c r="G60" i="15"/>
  <c r="G54" i="15"/>
  <c r="H7" i="15"/>
  <c r="N27" i="15" l="1"/>
  <c r="N28" i="15" s="1"/>
  <c r="M68" i="15"/>
  <c r="H68" i="15"/>
  <c r="G68" i="15"/>
  <c r="G73" i="7" s="1"/>
  <c r="B13" i="7" l="1"/>
  <c r="B14" i="7" s="1"/>
  <c r="B15" i="7" l="1"/>
  <c r="B16" i="7" s="1"/>
  <c r="B17" i="7" s="1"/>
  <c r="B18" i="7" s="1"/>
  <c r="B19" i="7" l="1"/>
  <c r="B20" i="7" l="1"/>
  <c r="B21" i="7" l="1"/>
  <c r="B22" i="7" l="1"/>
  <c r="B23" i="7" l="1"/>
  <c r="B24" i="7" l="1"/>
  <c r="B25" i="7" l="1"/>
  <c r="B26" i="7" l="1"/>
  <c r="B27" i="7" l="1"/>
  <c r="B28" i="7" l="1"/>
  <c r="B29" i="7" l="1"/>
  <c r="B30" i="7" l="1"/>
  <c r="B31" i="7" l="1"/>
  <c r="B32" i="7" l="1"/>
  <c r="B33" i="7" l="1"/>
  <c r="B34" i="7" l="1"/>
  <c r="B35" i="7" l="1"/>
  <c r="B36" i="7" l="1"/>
  <c r="B37" i="7" l="1"/>
  <c r="B38" i="7" l="1"/>
  <c r="B39" i="7" l="1"/>
  <c r="B40" i="7" l="1"/>
  <c r="B41" i="7" l="1"/>
  <c r="B42" i="7" l="1"/>
  <c r="B43" i="7" l="1"/>
  <c r="B44" i="7" l="1"/>
  <c r="B45" i="7" l="1"/>
  <c r="B46" i="7" l="1"/>
  <c r="B47" i="7" l="1"/>
  <c r="B48" i="7" l="1"/>
  <c r="B49" i="7" l="1"/>
  <c r="B50" i="7" l="1"/>
  <c r="B51" i="7" l="1"/>
  <c r="B52" i="7" l="1"/>
  <c r="B53" i="7" l="1"/>
  <c r="B54" i="7" l="1"/>
  <c r="B55" i="7" l="1"/>
  <c r="B56" i="7" l="1"/>
  <c r="B57" i="7" l="1"/>
  <c r="B58" i="7" l="1"/>
  <c r="B59" i="7" l="1"/>
  <c r="B60" i="7" l="1"/>
  <c r="B61" i="7" l="1"/>
  <c r="B62" i="7" l="1"/>
  <c r="B63" i="7" l="1"/>
  <c r="B64" i="7" l="1"/>
  <c r="B65" i="7" l="1"/>
  <c r="B66" i="7" l="1"/>
  <c r="B67" i="7" l="1"/>
  <c r="B68" i="7" l="1"/>
  <c r="B69" i="7" l="1"/>
  <c r="B70" i="7" l="1"/>
  <c r="B71" i="7" l="1"/>
  <c r="C11" i="7" s="1"/>
  <c r="D11" i="7"/>
  <c r="H11" i="7"/>
  <c r="E11" i="7"/>
  <c r="C66" i="7" l="1"/>
  <c r="C62" i="7"/>
  <c r="F62" i="7" s="1"/>
  <c r="C70" i="7"/>
  <c r="C64" i="7"/>
  <c r="C69" i="7"/>
  <c r="C68" i="7"/>
  <c r="C67" i="7"/>
  <c r="I11" i="7"/>
  <c r="F11" i="7"/>
  <c r="G11" i="7" s="1"/>
  <c r="C71" i="7"/>
  <c r="C15" i="7"/>
  <c r="C16" i="7"/>
  <c r="C13" i="7"/>
  <c r="C14" i="7"/>
  <c r="C12" i="7"/>
  <c r="C18" i="7"/>
  <c r="C21" i="7"/>
  <c r="C20" i="7"/>
  <c r="C17" i="7"/>
  <c r="C19" i="7"/>
  <c r="C23" i="7"/>
  <c r="C22" i="7"/>
  <c r="C24" i="7"/>
  <c r="C25" i="7"/>
  <c r="C26" i="7"/>
  <c r="C27" i="7"/>
  <c r="C28" i="7"/>
  <c r="C29" i="7"/>
  <c r="C30" i="7"/>
  <c r="C32" i="7"/>
  <c r="C31" i="7"/>
  <c r="C35" i="7"/>
  <c r="C37" i="7"/>
  <c r="C33" i="7"/>
  <c r="C34" i="7"/>
  <c r="C36" i="7"/>
  <c r="C39" i="7"/>
  <c r="C38" i="7"/>
  <c r="C42" i="7"/>
  <c r="C40" i="7"/>
  <c r="F40" i="7" s="1"/>
  <c r="C44" i="7"/>
  <c r="C41" i="7"/>
  <c r="C43" i="7"/>
  <c r="C45" i="7"/>
  <c r="C46" i="7"/>
  <c r="C49" i="7"/>
  <c r="C47" i="7"/>
  <c r="C48" i="7"/>
  <c r="C53" i="7"/>
  <c r="C52" i="7"/>
  <c r="C50" i="7"/>
  <c r="C55" i="7"/>
  <c r="C51" i="7"/>
  <c r="C54" i="7"/>
  <c r="C57" i="7"/>
  <c r="C56" i="7"/>
  <c r="C58" i="7"/>
  <c r="C59" i="7"/>
  <c r="C60" i="7"/>
  <c r="C63" i="7"/>
  <c r="C61" i="7"/>
  <c r="C65" i="7"/>
  <c r="H41" i="7"/>
  <c r="H34" i="7"/>
  <c r="E49" i="7"/>
  <c r="H69" i="7"/>
  <c r="D71" i="7"/>
  <c r="D54" i="7"/>
  <c r="E40" i="7"/>
  <c r="H53" i="7"/>
  <c r="H49" i="7"/>
  <c r="H59" i="7"/>
  <c r="H44" i="7"/>
  <c r="D63" i="7"/>
  <c r="H26" i="7"/>
  <c r="E38" i="7"/>
  <c r="H66" i="7"/>
  <c r="D39" i="7"/>
  <c r="E33" i="7"/>
  <c r="E19" i="7"/>
  <c r="E32" i="7"/>
  <c r="H20" i="7"/>
  <c r="H15" i="7"/>
  <c r="E39" i="7"/>
  <c r="D70" i="7"/>
  <c r="E69" i="7"/>
  <c r="H37" i="7"/>
  <c r="D32" i="7"/>
  <c r="E67" i="7"/>
  <c r="E59" i="7"/>
  <c r="H39" i="7"/>
  <c r="H63" i="7"/>
  <c r="H64" i="7"/>
  <c r="D26" i="7"/>
  <c r="E41" i="7"/>
  <c r="H28" i="7"/>
  <c r="D65" i="7"/>
  <c r="H22" i="7"/>
  <c r="E35" i="7"/>
  <c r="H67" i="7"/>
  <c r="D52" i="7"/>
  <c r="D67" i="7"/>
  <c r="E34" i="7"/>
  <c r="E68" i="7"/>
  <c r="D29" i="7"/>
  <c r="H56" i="7"/>
  <c r="H47" i="7"/>
  <c r="D56" i="7"/>
  <c r="E37" i="7"/>
  <c r="D40" i="7"/>
  <c r="D14" i="7"/>
  <c r="H68" i="7"/>
  <c r="H16" i="7"/>
  <c r="E18" i="7"/>
  <c r="H12" i="7"/>
  <c r="D64" i="7"/>
  <c r="E47" i="7"/>
  <c r="E57" i="7"/>
  <c r="E20" i="7"/>
  <c r="D49" i="7"/>
  <c r="E53" i="7"/>
  <c r="E45" i="7"/>
  <c r="H48" i="7"/>
  <c r="E21" i="7"/>
  <c r="D37" i="7"/>
  <c r="D13" i="7"/>
  <c r="D24" i="7"/>
  <c r="D38" i="7"/>
  <c r="D41" i="7"/>
  <c r="H18" i="7"/>
  <c r="H65" i="7"/>
  <c r="E28" i="7"/>
  <c r="H58" i="7"/>
  <c r="D51" i="7"/>
  <c r="D46" i="7"/>
  <c r="E12" i="7"/>
  <c r="H43" i="7"/>
  <c r="E26" i="7"/>
  <c r="D33" i="7"/>
  <c r="H19" i="7"/>
  <c r="E27" i="7"/>
  <c r="E16" i="7"/>
  <c r="E46" i="7"/>
  <c r="D43" i="7"/>
  <c r="D22" i="7"/>
  <c r="H45" i="7"/>
  <c r="H27" i="7"/>
  <c r="H46" i="7"/>
  <c r="D62" i="7"/>
  <c r="H29" i="7"/>
  <c r="H21" i="7"/>
  <c r="E52" i="7"/>
  <c r="H36" i="7"/>
  <c r="H33" i="7"/>
  <c r="D23" i="7"/>
  <c r="D58" i="7"/>
  <c r="E60" i="7"/>
  <c r="H25" i="7"/>
  <c r="H38" i="7"/>
  <c r="D25" i="7"/>
  <c r="D57" i="7"/>
  <c r="H57" i="7"/>
  <c r="H61" i="7"/>
  <c r="H17" i="7"/>
  <c r="H54" i="7"/>
  <c r="D45" i="7"/>
  <c r="H55" i="7"/>
  <c r="D55" i="7"/>
  <c r="D20" i="7"/>
  <c r="E36" i="7"/>
  <c r="D61" i="7"/>
  <c r="E30" i="7"/>
  <c r="D66" i="7"/>
  <c r="D47" i="7"/>
  <c r="D50" i="7"/>
  <c r="E62" i="7"/>
  <c r="H62" i="7"/>
  <c r="D42" i="7"/>
  <c r="E71" i="7"/>
  <c r="H60" i="7"/>
  <c r="D12" i="7"/>
  <c r="D31" i="7"/>
  <c r="D60" i="7"/>
  <c r="D34" i="7"/>
  <c r="E56" i="7"/>
  <c r="E22" i="7"/>
  <c r="D27" i="7"/>
  <c r="D21" i="7"/>
  <c r="D30" i="7"/>
  <c r="E42" i="7"/>
  <c r="H31" i="7"/>
  <c r="H52" i="7"/>
  <c r="H23" i="7"/>
  <c r="D35" i="7"/>
  <c r="D53" i="7"/>
  <c r="D68" i="7"/>
  <c r="D69" i="7"/>
  <c r="H13" i="7"/>
  <c r="D48" i="7"/>
  <c r="E24" i="7"/>
  <c r="H24" i="7"/>
  <c r="E44" i="7"/>
  <c r="H14" i="7"/>
  <c r="E64" i="7"/>
  <c r="E15" i="7"/>
  <c r="E29" i="7"/>
  <c r="E25" i="7"/>
  <c r="E51" i="7"/>
  <c r="E61" i="7"/>
  <c r="H40" i="7"/>
  <c r="E70" i="7"/>
  <c r="H50" i="7"/>
  <c r="H32" i="7"/>
  <c r="D19" i="7"/>
  <c r="E63" i="7"/>
  <c r="E13" i="7"/>
  <c r="E48" i="7"/>
  <c r="D59" i="7"/>
  <c r="H42" i="7"/>
  <c r="D44" i="7"/>
  <c r="E50" i="7"/>
  <c r="E23" i="7"/>
  <c r="E65" i="7"/>
  <c r="D16" i="7"/>
  <c r="H70" i="7"/>
  <c r="E66" i="7"/>
  <c r="D28" i="7"/>
  <c r="H51" i="7"/>
  <c r="E58" i="7"/>
  <c r="D18" i="7"/>
  <c r="E17" i="7"/>
  <c r="E54" i="7"/>
  <c r="E55" i="7"/>
  <c r="D36" i="7"/>
  <c r="H71" i="7"/>
  <c r="E43" i="7"/>
  <c r="D17" i="7"/>
  <c r="E31" i="7"/>
  <c r="H30" i="7"/>
  <c r="H35" i="7"/>
  <c r="E14" i="7"/>
  <c r="D15" i="7"/>
  <c r="F68" i="7" l="1"/>
  <c r="G68" i="7" s="1"/>
  <c r="F69" i="7"/>
  <c r="G69" i="7" s="1"/>
  <c r="I66" i="7"/>
  <c r="I70" i="7"/>
  <c r="I62" i="7"/>
  <c r="F66" i="7"/>
  <c r="G66" i="7" s="1"/>
  <c r="G62" i="7"/>
  <c r="F70" i="7"/>
  <c r="G70" i="7" s="1"/>
  <c r="D72" i="7"/>
  <c r="E72" i="7"/>
  <c r="E73" i="7" s="1"/>
  <c r="F64" i="7"/>
  <c r="G64" i="7" s="1"/>
  <c r="I67" i="7"/>
  <c r="I68" i="7"/>
  <c r="I69" i="7"/>
  <c r="I64" i="7"/>
  <c r="F67" i="7"/>
  <c r="G67" i="7" s="1"/>
  <c r="I20" i="7"/>
  <c r="I63" i="7"/>
  <c r="I25" i="7"/>
  <c r="I53" i="7"/>
  <c r="I40" i="7"/>
  <c r="I33" i="7"/>
  <c r="I37" i="7"/>
  <c r="I34" i="7"/>
  <c r="I51" i="7"/>
  <c r="I22" i="7"/>
  <c r="I46" i="7"/>
  <c r="I35" i="7"/>
  <c r="I17" i="7"/>
  <c r="I55" i="7"/>
  <c r="I26" i="7"/>
  <c r="I65" i="7"/>
  <c r="I23" i="7"/>
  <c r="I50" i="7"/>
  <c r="I57" i="7"/>
  <c r="I52" i="7"/>
  <c r="I12" i="7"/>
  <c r="I42" i="7"/>
  <c r="I60" i="7"/>
  <c r="I47" i="7"/>
  <c r="I58" i="7"/>
  <c r="I39" i="7"/>
  <c r="I30" i="7"/>
  <c r="I56" i="7"/>
  <c r="I18" i="7"/>
  <c r="I44" i="7"/>
  <c r="I29" i="7"/>
  <c r="I16" i="7"/>
  <c r="I54" i="7"/>
  <c r="I45" i="7"/>
  <c r="I36" i="7"/>
  <c r="I49" i="7"/>
  <c r="I59" i="7"/>
  <c r="I32" i="7"/>
  <c r="I14" i="7"/>
  <c r="I38" i="7"/>
  <c r="I43" i="7"/>
  <c r="I71" i="7"/>
  <c r="I21" i="7"/>
  <c r="I31" i="7"/>
  <c r="I27" i="7"/>
  <c r="I48" i="7"/>
  <c r="I19" i="7"/>
  <c r="I13" i="7"/>
  <c r="I61" i="7"/>
  <c r="I41" i="7"/>
  <c r="I28" i="7"/>
  <c r="I15" i="7"/>
  <c r="I24" i="7"/>
  <c r="F51" i="7"/>
  <c r="G51" i="7" s="1"/>
  <c r="F53" i="7"/>
  <c r="G53" i="7" s="1"/>
  <c r="F44" i="7"/>
  <c r="G44" i="7" s="1"/>
  <c r="F30" i="7"/>
  <c r="G30" i="7" s="1"/>
  <c r="F23" i="7"/>
  <c r="G23" i="7" s="1"/>
  <c r="F21" i="7"/>
  <c r="G21" i="7" s="1"/>
  <c r="F63" i="7"/>
  <c r="G63" i="7" s="1"/>
  <c r="F55" i="7"/>
  <c r="G55" i="7" s="1"/>
  <c r="F45" i="7"/>
  <c r="G45" i="7" s="1"/>
  <c r="F36" i="7"/>
  <c r="G36" i="7" s="1"/>
  <c r="F35" i="7"/>
  <c r="G35" i="7" s="1"/>
  <c r="F25" i="7"/>
  <c r="G25" i="7" s="1"/>
  <c r="F16" i="7"/>
  <c r="G16" i="7" s="1"/>
  <c r="F65" i="7"/>
  <c r="G65" i="7" s="1"/>
  <c r="F59" i="7"/>
  <c r="G59" i="7" s="1"/>
  <c r="F54" i="7"/>
  <c r="G54" i="7" s="1"/>
  <c r="F52" i="7"/>
  <c r="G52" i="7" s="1"/>
  <c r="F49" i="7"/>
  <c r="G49" i="7" s="1"/>
  <c r="F41" i="7"/>
  <c r="G41" i="7" s="1"/>
  <c r="F38" i="7"/>
  <c r="G38" i="7" s="1"/>
  <c r="F33" i="7"/>
  <c r="G33" i="7" s="1"/>
  <c r="F32" i="7"/>
  <c r="G32" i="7" s="1"/>
  <c r="F27" i="7"/>
  <c r="G27" i="7" s="1"/>
  <c r="F22" i="7"/>
  <c r="G22" i="7" s="1"/>
  <c r="F20" i="7"/>
  <c r="G20" i="7" s="1"/>
  <c r="F14" i="7"/>
  <c r="G14" i="7" s="1"/>
  <c r="F71" i="7"/>
  <c r="G71" i="7" s="1"/>
  <c r="F61" i="7"/>
  <c r="G61" i="7" s="1"/>
  <c r="F58" i="7"/>
  <c r="G58" i="7" s="1"/>
  <c r="F46" i="7"/>
  <c r="G46" i="7" s="1"/>
  <c r="F39" i="7"/>
  <c r="G39" i="7" s="1"/>
  <c r="F37" i="7"/>
  <c r="G37" i="7" s="1"/>
  <c r="F26" i="7"/>
  <c r="G26" i="7" s="1"/>
  <c r="F13" i="7"/>
  <c r="G13" i="7" s="1"/>
  <c r="F56" i="7"/>
  <c r="G56" i="7" s="1"/>
  <c r="F48" i="7"/>
  <c r="G48" i="7" s="1"/>
  <c r="G40" i="7"/>
  <c r="F29" i="7"/>
  <c r="G29" i="7" s="1"/>
  <c r="F19" i="7"/>
  <c r="G19" i="7" s="1"/>
  <c r="F18" i="7"/>
  <c r="G18" i="7" s="1"/>
  <c r="F60" i="7"/>
  <c r="G60" i="7" s="1"/>
  <c r="F57" i="7"/>
  <c r="G57" i="7" s="1"/>
  <c r="F50" i="7"/>
  <c r="G50" i="7" s="1"/>
  <c r="F47" i="7"/>
  <c r="G47" i="7" s="1"/>
  <c r="F43" i="7"/>
  <c r="G43" i="7" s="1"/>
  <c r="F42" i="7"/>
  <c r="G42" i="7" s="1"/>
  <c r="F34" i="7"/>
  <c r="G34" i="7" s="1"/>
  <c r="F31" i="7"/>
  <c r="G31" i="7" s="1"/>
  <c r="F28" i="7"/>
  <c r="G28" i="7" s="1"/>
  <c r="F24" i="7"/>
  <c r="G24" i="7" s="1"/>
  <c r="F17" i="7"/>
  <c r="G17" i="7" s="1"/>
  <c r="F12" i="7"/>
  <c r="G12" i="7" s="1"/>
  <c r="F15" i="7"/>
  <c r="G15" i="7" s="1"/>
  <c r="I72" i="7" l="1"/>
  <c r="G7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Oscar</author>
  </authors>
  <commentList>
    <comment ref="D3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peso propio de los componentes estructurales y accesorios no estructurales
</t>
        </r>
      </text>
    </comment>
    <comment ref="H3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 empuje horizontal del suelo</t>
        </r>
      </text>
    </comment>
    <comment ref="J3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presión vertical del peso propio del suelo de relleno</t>
        </r>
      </text>
    </comment>
    <comment ref="M3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sobrecarga de suelo</t>
        </r>
      </text>
    </comment>
    <comment ref="O3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 tensiones residuales acumuladas resultantes del proceso constructivo, incluyendo las fuerzas secundarias del postensado</t>
        </r>
      </text>
    </comment>
  </commentList>
</comments>
</file>

<file path=xl/sharedStrings.xml><?xml version="1.0" encoding="utf-8"?>
<sst xmlns="http://schemas.openxmlformats.org/spreadsheetml/2006/main" count="237" uniqueCount="182">
  <si>
    <t>DD = fricción negativa (downdrag)</t>
  </si>
  <si>
    <t>DC = peso propio de los componentes estructurales y accesorios no estructurales</t>
  </si>
  <si>
    <t>DW = peso propio de las superficies de rodamiento e instalaciones para servicios públicos</t>
  </si>
  <si>
    <t>EH = empuje horizontal del suelo</t>
  </si>
  <si>
    <t>ES = sobrecarga de suelo</t>
  </si>
  <si>
    <t>BR = fuerza de frenado de los vehículos</t>
  </si>
  <si>
    <t>CE = fuerza centrífuga de los vehículos</t>
  </si>
  <si>
    <t>CR = fluencia lenta</t>
  </si>
  <si>
    <t>CT = fuerza de colisión de un vehículo</t>
  </si>
  <si>
    <t>CV = fuerza de colisión de una embarcación</t>
  </si>
  <si>
    <t>EQ = sismo</t>
  </si>
  <si>
    <t>FR = fricción</t>
  </si>
  <si>
    <t>LL = sobrecarga vehicular</t>
  </si>
  <si>
    <t>LS = sobrecarga viva</t>
  </si>
  <si>
    <t>PL = sobrecarga peatonal</t>
  </si>
  <si>
    <t>SE = asentamiento</t>
  </si>
  <si>
    <t>SH = contracción</t>
  </si>
  <si>
    <t>TG = gradiente de temperatura</t>
  </si>
  <si>
    <t>TU = temperatura uniforme</t>
  </si>
  <si>
    <t>WA = carga hidráulica y presión del flujo de agua</t>
  </si>
  <si>
    <t>WL = viento sobre la sobrecarga</t>
  </si>
  <si>
    <t>WS = viento sobre la estructura</t>
  </si>
  <si>
    <t>Combinaciones de carga</t>
  </si>
  <si>
    <t>DC</t>
  </si>
  <si>
    <t>WA</t>
  </si>
  <si>
    <t>WS</t>
  </si>
  <si>
    <t>WL</t>
  </si>
  <si>
    <t>FR</t>
  </si>
  <si>
    <t>TG</t>
  </si>
  <si>
    <t>SE</t>
  </si>
  <si>
    <t>EQ</t>
  </si>
  <si>
    <t>CT</t>
  </si>
  <si>
    <t>CV</t>
  </si>
  <si>
    <t>RESISTENCIA I</t>
  </si>
  <si>
    <t>RESISTENCIA II</t>
  </si>
  <si>
    <t>RESISTENCIA III</t>
  </si>
  <si>
    <t>RESISTENCIA IV</t>
  </si>
  <si>
    <t>RESISTENCIA V</t>
  </si>
  <si>
    <t>SERVICIO I</t>
  </si>
  <si>
    <t>SERVICIO II</t>
  </si>
  <si>
    <t>SERVICIO III</t>
  </si>
  <si>
    <t>SERVICIO IV</t>
  </si>
  <si>
    <t>FATIGA</t>
  </si>
  <si>
    <t>MIN</t>
  </si>
  <si>
    <t>MAX</t>
  </si>
  <si>
    <t xml:space="preserve"> TU                CR                      SH</t>
  </si>
  <si>
    <t>DD</t>
  </si>
  <si>
    <t>DW</t>
  </si>
  <si>
    <t>EH</t>
  </si>
  <si>
    <t>EV</t>
  </si>
  <si>
    <t>ES</t>
  </si>
  <si>
    <t>EL</t>
  </si>
  <si>
    <t>LL</t>
  </si>
  <si>
    <t>IM</t>
  </si>
  <si>
    <t>CE</t>
  </si>
  <si>
    <t>BR</t>
  </si>
  <si>
    <t>PL</t>
  </si>
  <si>
    <t>LS</t>
  </si>
  <si>
    <t>EV GLOBAL</t>
  </si>
  <si>
    <t>EVENTO EXTREMO I (sismo)</t>
  </si>
  <si>
    <t>EVENTO EXTREMO II (colision)</t>
  </si>
  <si>
    <t>Deformaciones</t>
  </si>
  <si>
    <t>Resto</t>
  </si>
  <si>
    <t>EV  =  presión vertical del peso propio del suelo de relleno</t>
  </si>
  <si>
    <t>EL = tensiones residuales acumuladas resultantes del proceso constructivo, incluyendo las fuerzas secundarias del postensado</t>
  </si>
  <si>
    <t>RESISTENCIA II – Combinación de cargas que representa el uso del puente por parte de vehículos de diseño especiales especificados por el Propietario, vehículos de circulación restringida, o ambos, sin viento.</t>
  </si>
  <si>
    <t>RESISTENCIA III – Combinación de cargas que representa el puente expuesto a vientos de velocidades superiores a 90 km/h.</t>
  </si>
  <si>
    <t>RESISTENCIA IV – Combinación de cargas que representa relaciones muy elevadas entre las solicitaciones provocadas por las cargas permanentes y las provocadas por las sobrecargas.</t>
  </si>
  <si>
    <t>RESISTENCIA V – Combinación de cargas que representa el uso del puente por parte de vehículos normales con una velocidad del viento de 90 km/h.</t>
  </si>
  <si>
    <t>EVENTO EXTREMO I – Combinación de cargas que incluye sismos.</t>
  </si>
  <si>
    <t>EVENTO EXTREMO II – Combinación de cargas que incluye carga de hielo, colisión de embarcaciones y vehículos, y ciertos eventos hidráulicos con una sobrecarga reducida diferente a la que forma parte de la carga de colisión de vehículos, CT.</t>
  </si>
  <si>
    <t>SERVICIO III – Combinación de cargas relacionada exclusivamente con la tracción en superestructuras de hormigón pretensado, cuyo objetivo es controlar la fisuración.</t>
  </si>
  <si>
    <t>SERVICIO IV – Combinación de cargas relacionada exclusivamente con la tracción en subestructuras de hormigón pretensado, cuyo objetivo es controlar la fisuración.</t>
  </si>
  <si>
    <t>D</t>
  </si>
  <si>
    <t>Imperial</t>
  </si>
  <si>
    <t>Bar Size</t>
  </si>
  <si>
    <t>"Soft"</t>
  </si>
  <si>
    <t>Metric Size</t>
  </si>
  <si>
    <t>Weight per unit length</t>
  </si>
  <si>
    <t>(lb⁄ft)</t>
  </si>
  <si>
    <t>Mass per unit length</t>
  </si>
  <si>
    <t>(kg/m)</t>
  </si>
  <si>
    <t>Nominal Diameter</t>
  </si>
  <si>
    <t>(in)</t>
  </si>
  <si>
    <t>(mm)</t>
  </si>
  <si>
    <t>Nominal Area</t>
  </si>
  <si>
    <t>(in²)</t>
  </si>
  <si>
    <t>(mm²)</t>
  </si>
  <si>
    <t>#3</t>
  </si>
  <si>
    <t>#10</t>
  </si>
  <si>
    <t>0.375 = ⅜</t>
  </si>
  <si>
    <t>#4</t>
  </si>
  <si>
    <t>#13</t>
  </si>
  <si>
    <t>0.500 = ½</t>
  </si>
  <si>
    <t>#5</t>
  </si>
  <si>
    <t>#16</t>
  </si>
  <si>
    <t>0.625 = ⅝</t>
  </si>
  <si>
    <t>#6</t>
  </si>
  <si>
    <t>#19</t>
  </si>
  <si>
    <t>0.750 = ¾</t>
  </si>
  <si>
    <t>#7</t>
  </si>
  <si>
    <t>#22</t>
  </si>
  <si>
    <t>0.875 = ⅞</t>
  </si>
  <si>
    <t>#8</t>
  </si>
  <si>
    <t>#25</t>
  </si>
  <si>
    <t>1.000 = 8⁄8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</si>
  <si>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</si>
  <si>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</si>
  <si>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</si>
  <si>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</si>
  <si>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</si>
  <si>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</si>
  <si>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</si>
  <si>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</si>
  <si>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</si>
  <si>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</si>
  <si>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</si>
  <si>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 xml:space="preserve"> </t>
  </si>
  <si>
    <t>Cargas Permanentes:</t>
  </si>
  <si>
    <t>Cargas Transitorias:</t>
  </si>
  <si>
    <r>
      <rPr>
        <b/>
        <sz val="10"/>
        <color theme="1"/>
        <rFont val="Arial"/>
        <family val="2"/>
      </rPr>
      <t>RESISTENCIA I</t>
    </r>
    <r>
      <rPr>
        <sz val="10"/>
        <color theme="1"/>
        <rFont val="Arial"/>
        <family val="2"/>
      </rPr>
      <t xml:space="preserve"> – Combinación de cargas básica que representa el uso vehicular normal del puente, sin viento</t>
    </r>
  </si>
  <si>
    <r>
      <rPr>
        <b/>
        <sz val="10"/>
        <color theme="1"/>
        <rFont val="Arial"/>
        <family val="2"/>
      </rPr>
      <t>SERVICIO II</t>
    </r>
    <r>
      <rPr>
        <sz val="10"/>
        <color theme="1"/>
        <rFont val="Arial"/>
        <family val="2"/>
      </rPr>
      <t xml:space="preserve"> – Combinación de cargas cuya intención es controlar la fluencia de las estructuras de acero y el resbalamiento que provoca la sobrecarga vehicular en las conexiones de resbalamiento crítico.</t>
    </r>
  </si>
  <si>
    <r>
      <rPr>
        <b/>
        <sz val="10"/>
        <color theme="1"/>
        <rFont val="Arial"/>
        <family val="2"/>
      </rPr>
      <t xml:space="preserve">FATIGA – </t>
    </r>
    <r>
      <rPr>
        <sz val="10"/>
        <color theme="1"/>
        <rFont val="Arial"/>
        <family val="2"/>
      </rPr>
      <t>Combinación de cargas de fatiga y fractura que se relacionan con la sobrecarga gravitatoria vehicular repetitiva y las respuestas dinámicas bajo un único camión de diseño con la separación entre ejes especificada en el Artículo 3.6.1.4.1.</t>
    </r>
  </si>
  <si>
    <t>Factores de resistencia</t>
  </si>
  <si>
    <t>Tipo</t>
  </si>
  <si>
    <t>Corte</t>
  </si>
  <si>
    <t>Compresión axial</t>
  </si>
  <si>
    <t>Factor de resistencia</t>
  </si>
  <si>
    <t>Flexión</t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</si>
  <si>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</rPr>
      <t>f=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</si>
  <si>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</rPr>
      <t>v=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</si>
  <si>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</rPr>
      <t>c=</t>
    </r>
  </si>
  <si>
    <t>Combinación de carga</t>
  </si>
  <si>
    <t>IM = sobrecarga vehicular dinámica</t>
  </si>
  <si>
    <t>Fatiga</t>
  </si>
  <si>
    <t>Todo el resto</t>
  </si>
  <si>
    <t>Sobrecarga vehicular dinámica</t>
  </si>
  <si>
    <t>Sobrecarga Dinámica</t>
  </si>
  <si>
    <t>15 %</t>
  </si>
  <si>
    <t>33 %</t>
  </si>
  <si>
    <t>m</t>
  </si>
  <si>
    <t>Linea</t>
  </si>
  <si>
    <r>
      <rPr>
        <b/>
        <sz val="10"/>
        <color theme="1"/>
        <rFont val="Arial"/>
        <family val="2"/>
      </rPr>
      <t>SERVICIO I</t>
    </r>
    <r>
      <rPr>
        <sz val="10"/>
        <color theme="1"/>
        <rFont val="Arial"/>
        <family val="2"/>
      </rPr>
      <t xml:space="preserve"> – Combinación de cargas que representa la operación normal del puente con un viento de 90 km/h, tomando todas las cargas a  sus valores nominales. También se relaciona con el control de las deflexiones de las estructuras metálicas enterradas, revestimientos de túneles y tuberías termoplásticas y con el control del ancho de fisuración de las estructuras de hormigón armado. Esta combinación de cargas también se debería utilizar para investigar la estabilidad de taludes.</t>
    </r>
  </si>
  <si>
    <t xml:space="preserve"> los factores de carga</t>
  </si>
  <si>
    <t>Longitud</t>
  </si>
  <si>
    <t>eje frontal</t>
  </si>
  <si>
    <t>ejes posteriores</t>
  </si>
  <si>
    <t>linea de carga</t>
  </si>
  <si>
    <t>punto</t>
  </si>
  <si>
    <t>distancia</t>
  </si>
  <si>
    <t>IM33%+Linea</t>
  </si>
  <si>
    <t>Camion fatiga</t>
  </si>
  <si>
    <t>IM33%+MAX</t>
  </si>
  <si>
    <t>IM33%+MIN</t>
  </si>
  <si>
    <t>Corte MIN</t>
  </si>
  <si>
    <t>Corte MAX</t>
  </si>
  <si>
    <t>Rotura en seccion neta</t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</si>
  <si>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</rPr>
      <t>u=</t>
    </r>
  </si>
  <si>
    <t>Fluencia en seccion bruta</t>
  </si>
  <si>
    <t>Resistencia al aplastamiento del perno</t>
  </si>
  <si>
    <t>Pernos en corte</t>
  </si>
  <si>
    <t>Corte en bloque</t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</si>
  <si>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</rPr>
      <t>y=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</si>
  <si>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</rPr>
      <t>bb=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</si>
  <si>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</rPr>
      <t>s=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</si>
  <si>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</rPr>
      <t>bs=</t>
    </r>
  </si>
  <si>
    <t xml:space="preserve"> de acero. </t>
  </si>
  <si>
    <t>toneladas</t>
  </si>
  <si>
    <t>toneladas/m</t>
  </si>
  <si>
    <t>Max Fat</t>
  </si>
  <si>
    <t>Min Fat</t>
  </si>
  <si>
    <t>FAT15%_MAX</t>
  </si>
  <si>
    <t>FAT15%_MIN</t>
  </si>
  <si>
    <t>es</t>
  </si>
  <si>
    <t>ANEXO B: LINEAS DE INFLUENCIA MOMENTO</t>
  </si>
  <si>
    <t>ANEXO C: LINEAS DE INFLUENCIA CORTE</t>
  </si>
  <si>
    <t>FATIGA + IM15%</t>
  </si>
  <si>
    <t>*unidades: toneladas; metros</t>
  </si>
  <si>
    <t>ΔFAT</t>
  </si>
  <si>
    <t>eje tandem</t>
  </si>
  <si>
    <t>Máx. Tandem</t>
  </si>
  <si>
    <t>Max. Camión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</si>
</sst>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Symbol"/>
      <family val="1"/>
      <charset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name val="Calibri"/>
      <family val="2"/>
      <scheme val="minor"/>
    </font>
    <font>
      <i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9F9F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/>
      <diagonal/>
    </border>
    <border>
      <left style="medium">
        <color rgb="FFAAAAAA"/>
      </left>
      <right style="medium">
        <color rgb="FFAAAAAA"/>
      </right>
      <top/>
      <bottom style="medium">
        <color rgb="FFAAAAAA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2" fontId="0" fillId="0" borderId="0" xfId="0" applyNumberFormat="1"/>
    <xf numFmtId="2" fontId="0" fillId="0" borderId="0" xfId="0" applyNumberFormat="1" applyAlignment="1">
      <alignment wrapText="1"/>
    </xf>
    <xf numFmtId="2" fontId="0" fillId="0" borderId="1" xfId="0" applyNumberFormat="1" applyBorder="1" applyAlignment="1">
      <alignment wrapText="1"/>
    </xf>
    <xf numFmtId="2" fontId="0" fillId="0" borderId="1" xfId="0" applyNumberFormat="1" applyBorder="1"/>
    <xf numFmtId="0" fontId="4" fillId="3" borderId="6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vertical="center" wrapText="1"/>
    </xf>
    <xf numFmtId="0" fontId="4" fillId="4" borderId="6" xfId="0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left" vertical="center" wrapText="1"/>
    </xf>
    <xf numFmtId="2" fontId="5" fillId="0" borderId="0" xfId="0" applyNumberFormat="1" applyFont="1"/>
    <xf numFmtId="2" fontId="6" fillId="0" borderId="0" xfId="0" applyNumberFormat="1" applyFont="1"/>
    <xf numFmtId="2" fontId="6" fillId="0" borderId="0" xfId="0" applyNumberFormat="1" applyFont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 wrapText="1"/>
    </xf>
    <xf numFmtId="2" fontId="6" fillId="0" borderId="4" xfId="0" applyNumberFormat="1" applyFont="1" applyBorder="1" applyAlignment="1">
      <alignment horizontal="center" vertical="center" wrapText="1"/>
    </xf>
    <xf numFmtId="1" fontId="0" fillId="0" borderId="0" xfId="0" applyNumberFormat="1"/>
    <xf numFmtId="0" fontId="6" fillId="0" borderId="0" xfId="0" applyFont="1" applyAlignment="1">
      <alignment vertical="top"/>
    </xf>
    <xf numFmtId="2" fontId="6" fillId="0" borderId="0" xfId="0" applyNumberFormat="1" applyFont="1" applyAlignment="1">
      <alignment vertical="top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2" xfId="0" applyBorder="1" applyAlignment="1">
      <alignment horizontal="center" wrapText="1"/>
    </xf>
    <xf numFmtId="2" fontId="0" fillId="0" borderId="13" xfId="0" applyNumberFormat="1" applyBorder="1" applyAlignment="1">
      <alignment horizontal="center" vertical="center" wrapText="1"/>
    </xf>
    <xf numFmtId="0" fontId="0" fillId="0" borderId="12" xfId="0" applyFill="1" applyBorder="1" applyAlignment="1">
      <alignment horizontal="center" wrapText="1"/>
    </xf>
    <xf numFmtId="0" fontId="0" fillId="0" borderId="14" xfId="0" applyFill="1" applyBorder="1" applyAlignment="1">
      <alignment horizontal="center" wrapText="1"/>
    </xf>
    <xf numFmtId="0" fontId="8" fillId="0" borderId="19" xfId="0" applyFont="1" applyBorder="1" applyAlignment="1">
      <alignment horizontal="center" vertical="center"/>
    </xf>
    <xf numFmtId="2" fontId="0" fillId="0" borderId="15" xfId="0" applyNumberFormat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7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Border="1" applyAlignment="1">
      <alignment horizontal="center" wrapText="1"/>
    </xf>
    <xf numFmtId="1" fontId="13" fillId="0" borderId="0" xfId="0" applyNumberFormat="1" applyFont="1"/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10" fillId="0" borderId="1" xfId="0" applyNumberFormat="1" applyFont="1" applyBorder="1" applyAlignment="1">
      <alignment horizontal="center" vertical="center"/>
    </xf>
    <xf numFmtId="1" fontId="12" fillId="0" borderId="1" xfId="0" applyNumberFormat="1" applyFont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1" fontId="12" fillId="0" borderId="0" xfId="0" applyNumberFormat="1" applyFont="1"/>
    <xf numFmtId="164" fontId="12" fillId="0" borderId="0" xfId="0" applyNumberFormat="1" applyFont="1"/>
    <xf numFmtId="0" fontId="12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" fontId="14" fillId="0" borderId="0" xfId="0" applyNumberFormat="1" applyFont="1"/>
    <xf numFmtId="2" fontId="12" fillId="0" borderId="1" xfId="0" applyNumberFormat="1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5" fillId="0" borderId="0" xfId="0" applyFont="1" applyAlignment="1">
      <alignment horizontal="left" vertical="center"/>
    </xf>
    <xf numFmtId="2" fontId="8" fillId="0" borderId="1" xfId="0" applyNumberFormat="1" applyFont="1" applyBorder="1" applyAlignment="1">
      <alignment horizontal="center" vertical="center"/>
    </xf>
    <xf numFmtId="2" fontId="12" fillId="0" borderId="0" xfId="0" applyNumberFormat="1" applyFont="1"/>
    <xf numFmtId="2" fontId="12" fillId="0" borderId="0" xfId="0" applyNumberFormat="1" applyFont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164" fontId="12" fillId="4" borderId="1" xfId="0" applyNumberFormat="1" applyFont="1" applyFill="1" applyBorder="1" applyAlignment="1">
      <alignment horizontal="center" vertical="center"/>
    </xf>
    <xf numFmtId="2" fontId="12" fillId="4" borderId="1" xfId="0" applyNumberFormat="1" applyFont="1" applyFill="1" applyBorder="1" applyAlignment="1">
      <alignment horizontal="center" vertical="center"/>
    </xf>
    <xf numFmtId="1" fontId="12" fillId="4" borderId="1" xfId="0" applyNumberFormat="1" applyFont="1" applyFill="1" applyBorder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164" fontId="11" fillId="4" borderId="0" xfId="0" applyNumberFormat="1" applyFont="1" applyFill="1" applyAlignment="1">
      <alignment horizontal="center" vertical="center"/>
    </xf>
    <xf numFmtId="0" fontId="6" fillId="0" borderId="0" xfId="0" applyFont="1" applyAlignment="1">
      <alignment vertical="top" wrapText="1"/>
    </xf>
    <xf numFmtId="0" fontId="6" fillId="0" borderId="0" xfId="0" applyFont="1" applyAlignment="1">
      <alignment horizontal="left" vertical="center" wrapText="1"/>
    </xf>
    <xf numFmtId="2" fontId="6" fillId="0" borderId="2" xfId="0" applyNumberFormat="1" applyFont="1" applyBorder="1" applyAlignment="1">
      <alignment horizontal="center" vertical="center" wrapText="1"/>
    </xf>
    <xf numFmtId="2" fontId="6" fillId="0" borderId="3" xfId="0" applyNumberFormat="1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0" xfId="0" applyNumberForma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144368390010949E-2"/>
          <c:y val="3.5176940056036894E-2"/>
          <c:w val="0.88379205050349097"/>
          <c:h val="0.82330862229447555"/>
        </c:manualLayout>
      </c:layout>
      <c:scatterChart>
        <c:scatterStyle val="lineMarker"/>
        <c:varyColors val="0"/>
        <c:ser>
          <c:idx val="2"/>
          <c:order val="0"/>
          <c:marker>
            <c:symbol val="none"/>
          </c:marker>
          <c:xVal>
            <c:numRef>
              <c:f>'influencia momentos'!$C$11:$C$71</c:f>
              <c:numCache>
                <c:formatCode>0.0</c:formatCode>
                <c:ptCount val="9"/>
                <c:pt idx="0">
                  <c:v>4.583333333333333</c:v>
                </c:pt>
                <c:pt idx="1">
                  <c:v>4.7666666666666666</c:v>
                </c:pt>
                <c:pt idx="2">
                  <c:v>4.9499999999999993</c:v>
                </c:pt>
                <c:pt idx="3">
                  <c:v>5.1333333333333329</c:v>
                </c:pt>
                <c:pt idx="4">
                  <c:v>5.3166666666666664</c:v>
                </c:pt>
                <c:pt idx="5">
                  <c:v>5.5</c:v>
                </c:pt>
                <c:pt idx="6">
                  <c:v>5.6833333333333327</c:v>
                </c:pt>
                <c:pt idx="7">
                  <c:v>5.8666666666666663</c:v>
                </c:pt>
                <c:pt idx="8">
                  <c:v>6.05</c:v>
                </c:pt>
              </c:numCache>
            </c:numRef>
          </c:xVal>
          <c:yVal>
            <c:numRef>
              <c:f>'influencia momentos'!$G$11:$G$71</c:f>
              <c:numCache>
                <c:formatCode>0.0</c:formatCode>
                <c:ptCount val="9"/>
                <c:pt idx="0">
                  <c:v>86.896329210586771</c:v>
                </c:pt>
                <c:pt idx="1">
                  <c:v>87.643606964244171</c:v>
                </c:pt>
                <c:pt idx="2">
                  <c:v>88.157790920014193</c:v>
                </c:pt>
                <c:pt idx="3">
                  <c:v>88.438881077896838</c:v>
                </c:pt>
                <c:pt idx="4">
                  <c:v>88.486877437892119</c:v>
                </c:pt>
                <c:pt idx="5">
                  <c:v>88.301780000000008</c:v>
                </c:pt>
                <c:pt idx="6">
                  <c:v>88.486876824549313</c:v>
                </c:pt>
                <c:pt idx="7">
                  <c:v>88.438879851211254</c:v>
                </c:pt>
                <c:pt idx="8">
                  <c:v>88.157789079985804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0C-4A2B-993D-8C14307EEA51}"/>
            </c:ext>
          </c:extLst>
        </c:ser>
        <c:ser>
          <c:idx val="4"/>
          <c:order val="1"/>
          <c:tx>
            <c:v>MAX FATIGA</c:v>
          </c:tx>
          <c:spPr>
            <a:ln>
              <a:prstDash val="dash"/>
            </a:ln>
          </c:spPr>
          <c:marker>
            <c:symbol val="none"/>
          </c:marker>
          <c:xVal>
            <c:numRef>
              <c:f>'influencia momentos'!$C$12:$C$71</c:f>
              <c:numCache>
                <c:formatCode>0.0</c:formatCode>
                <c:ptCount val="9"/>
                <c:pt idx="0">
                  <c:v>4.583333333333333</c:v>
                </c:pt>
                <c:pt idx="1">
                  <c:v>4.7666666666666666</c:v>
                </c:pt>
                <c:pt idx="2">
                  <c:v>4.9499999999999993</c:v>
                </c:pt>
                <c:pt idx="3">
                  <c:v>5.1333333333333329</c:v>
                </c:pt>
                <c:pt idx="4">
                  <c:v>5.3166666666666664</c:v>
                </c:pt>
                <c:pt idx="5">
                  <c:v>5.5</c:v>
                </c:pt>
                <c:pt idx="6">
                  <c:v>5.6833333333333327</c:v>
                </c:pt>
                <c:pt idx="7">
                  <c:v>5.8666666666666663</c:v>
                </c:pt>
                <c:pt idx="8">
                  <c:v>6.05</c:v>
                </c:pt>
              </c:numCache>
            </c:numRef>
          </c:xVal>
          <c:yVal>
            <c:numRef>
              <c:f>'influencia momentos'!$I$12:$I$71</c:f>
              <c:numCache>
                <c:formatCode>0</c:formatCode>
                <c:ptCount val="9"/>
                <c:pt idx="0">
                  <c:v>46.850407011296276</c:v>
                </c:pt>
                <c:pt idx="1">
                  <c:v>47.64854299207672</c:v>
                </c:pt>
                <c:pt idx="2">
                  <c:v>48.303549268544188</c:v>
                </c:pt>
                <c:pt idx="3">
                  <c:v>48.823409665029203</c:v>
                </c:pt>
                <c:pt idx="4">
                  <c:v>49.516188529848073</c:v>
                </c:pt>
                <c:pt idx="5">
                  <c:v>50.065812612671088</c:v>
                </c:pt>
                <c:pt idx="6">
                  <c:v>50.18408249796493</c:v>
                </c:pt>
                <c:pt idx="7">
                  <c:v>50.159222678945802</c:v>
                </c:pt>
                <c:pt idx="8">
                  <c:v>49.991233155613699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0C-4A2B-993D-8C14307EE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64128"/>
        <c:axId val="40065664"/>
      </c:scatterChart>
      <c:valAx>
        <c:axId val="40064128"/>
        <c:scaling>
          <c:orientation val="minMax"/>
          <c:max val="10"/>
          <c:min val="0"/>
        </c:scaling>
        <c:delete val="0"/>
        <c:axPos val="b"/>
        <c:minorGridlines/>
        <c:numFmt formatCode="0.0" sourceLinked="1"/>
        <c:majorTickMark val="out"/>
        <c:minorTickMark val="none"/>
        <c:tickLblPos val="nextTo"/>
        <c:spPr>
          <a:ln>
            <a:gradFill>
              <a:gsLst>
                <a:gs pos="0">
                  <a:schemeClr val="accent1">
                    <a:tint val="66000"/>
                    <a:satMod val="160000"/>
                  </a:schemeClr>
                </a:gs>
                <a:gs pos="62920">
                  <a:srgbClr val="CEDAF0"/>
                </a:gs>
                <a:gs pos="4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a:ln>
        </c:spPr>
        <c:crossAx val="40065664"/>
        <c:crosses val="autoZero"/>
        <c:crossBetween val="midCat"/>
        <c:minorUnit val="2"/>
      </c:valAx>
      <c:valAx>
        <c:axId val="400656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40064128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accent1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68798289803875"/>
          <c:y val="3.2238038973402036E-2"/>
          <c:w val="0.84721501083557449"/>
          <c:h val="0.88283672650080414"/>
        </c:manualLayout>
      </c:layout>
      <c:scatterChart>
        <c:scatterStyle val="lineMarker"/>
        <c:varyColors val="0"/>
        <c:ser>
          <c:idx val="2"/>
          <c:order val="0"/>
          <c:tx>
            <c:v>MAX</c:v>
          </c:tx>
          <c:marker>
            <c:symbol val="none"/>
          </c:marker>
          <c:xVal>
            <c:numRef>
              <c:f>'influencia corte (2)'!$C$7:$C$67</c:f>
              <c:numCache>
                <c:formatCode>0.0</c:formatCode>
                <c:ptCount val="61"/>
                <c:pt idx="0">
                  <c:v>0</c:v>
                </c:pt>
                <c:pt idx="1">
                  <c:v>0.18333333333333332</c:v>
                </c:pt>
                <c:pt idx="2">
                  <c:v>0.36666666666666664</c:v>
                </c:pt>
                <c:pt idx="3">
                  <c:v>0.54999999999999993</c:v>
                </c:pt>
                <c:pt idx="4">
                  <c:v>0.73333333333333328</c:v>
                </c:pt>
                <c:pt idx="5">
                  <c:v>0.91666666666666663</c:v>
                </c:pt>
                <c:pt idx="6">
                  <c:v>1.0999999999999999</c:v>
                </c:pt>
                <c:pt idx="7">
                  <c:v>1.2833333333333332</c:v>
                </c:pt>
                <c:pt idx="8">
                  <c:v>1.4666666666666666</c:v>
                </c:pt>
                <c:pt idx="9">
                  <c:v>1.65</c:v>
                </c:pt>
                <c:pt idx="10">
                  <c:v>1.8333333333333333</c:v>
                </c:pt>
                <c:pt idx="11">
                  <c:v>2.0166666666666666</c:v>
                </c:pt>
                <c:pt idx="12">
                  <c:v>2.1999999999999997</c:v>
                </c:pt>
                <c:pt idx="13">
                  <c:v>2.3833333333333333</c:v>
                </c:pt>
                <c:pt idx="14">
                  <c:v>2.5666666666666664</c:v>
                </c:pt>
                <c:pt idx="15">
                  <c:v>2.75</c:v>
                </c:pt>
                <c:pt idx="16">
                  <c:v>2.9333333333333331</c:v>
                </c:pt>
                <c:pt idx="17">
                  <c:v>3.1166666666666663</c:v>
                </c:pt>
                <c:pt idx="18">
                  <c:v>3.3</c:v>
                </c:pt>
                <c:pt idx="19">
                  <c:v>3.4833333333333329</c:v>
                </c:pt>
                <c:pt idx="20">
                  <c:v>3.6666666666666665</c:v>
                </c:pt>
                <c:pt idx="21">
                  <c:v>3.8499999999999996</c:v>
                </c:pt>
                <c:pt idx="22">
                  <c:v>4.0333333333333332</c:v>
                </c:pt>
                <c:pt idx="23">
                  <c:v>4.2166666666666668</c:v>
                </c:pt>
                <c:pt idx="24">
                  <c:v>4.3999999999999995</c:v>
                </c:pt>
                <c:pt idx="25">
                  <c:v>4.583333333333333</c:v>
                </c:pt>
                <c:pt idx="26">
                  <c:v>4.7666666666666666</c:v>
                </c:pt>
                <c:pt idx="27">
                  <c:v>4.9499999999999993</c:v>
                </c:pt>
                <c:pt idx="28">
                  <c:v>5.1333333333333329</c:v>
                </c:pt>
                <c:pt idx="29">
                  <c:v>5.3166666666666664</c:v>
                </c:pt>
                <c:pt idx="30">
                  <c:v>5.5</c:v>
                </c:pt>
                <c:pt idx="31">
                  <c:v>5.6833333333333327</c:v>
                </c:pt>
                <c:pt idx="32">
                  <c:v>5.8666666666666663</c:v>
                </c:pt>
                <c:pt idx="33">
                  <c:v>6.05</c:v>
                </c:pt>
                <c:pt idx="34">
                  <c:v>6.2333333333333325</c:v>
                </c:pt>
                <c:pt idx="35">
                  <c:v>6.4166666666666661</c:v>
                </c:pt>
                <c:pt idx="36">
                  <c:v>6.6</c:v>
                </c:pt>
                <c:pt idx="37">
                  <c:v>6.7833333333333332</c:v>
                </c:pt>
                <c:pt idx="38">
                  <c:v>6.9666666666666659</c:v>
                </c:pt>
                <c:pt idx="39">
                  <c:v>7.1499999999999995</c:v>
                </c:pt>
                <c:pt idx="40">
                  <c:v>7.333333333333333</c:v>
                </c:pt>
                <c:pt idx="41">
                  <c:v>7.5166666666666657</c:v>
                </c:pt>
                <c:pt idx="42">
                  <c:v>7.6999999999999993</c:v>
                </c:pt>
                <c:pt idx="43">
                  <c:v>7.8833333333333329</c:v>
                </c:pt>
                <c:pt idx="44">
                  <c:v>8.0666666666666664</c:v>
                </c:pt>
                <c:pt idx="45">
                  <c:v>8.25</c:v>
                </c:pt>
                <c:pt idx="46">
                  <c:v>8.4333333333333336</c:v>
                </c:pt>
                <c:pt idx="47">
                  <c:v>8.6166666666666654</c:v>
                </c:pt>
                <c:pt idx="48">
                  <c:v>8.7999999999999989</c:v>
                </c:pt>
                <c:pt idx="49">
                  <c:v>8.9833333333333325</c:v>
                </c:pt>
                <c:pt idx="50">
                  <c:v>9.1666666666666661</c:v>
                </c:pt>
                <c:pt idx="51">
                  <c:v>9.35</c:v>
                </c:pt>
                <c:pt idx="52">
                  <c:v>9.5333333333333332</c:v>
                </c:pt>
                <c:pt idx="53">
                  <c:v>9.7166666666666668</c:v>
                </c:pt>
                <c:pt idx="54">
                  <c:v>9.8999999999999986</c:v>
                </c:pt>
                <c:pt idx="55">
                  <c:v>10.083333333333332</c:v>
                </c:pt>
                <c:pt idx="56">
                  <c:v>10.266666666666666</c:v>
                </c:pt>
                <c:pt idx="57">
                  <c:v>10.45</c:v>
                </c:pt>
                <c:pt idx="58">
                  <c:v>10.633333333333333</c:v>
                </c:pt>
                <c:pt idx="59">
                  <c:v>10.816666666666666</c:v>
                </c:pt>
                <c:pt idx="60">
                  <c:v>11</c:v>
                </c:pt>
              </c:numCache>
            </c:numRef>
          </c:xVal>
          <c:yVal>
            <c:numRef>
              <c:f>'influencia corte (2)'!$G$7:$G$67</c:f>
              <c:numCache>
                <c:formatCode>0</c:formatCode>
                <c:ptCount val="61"/>
                <c:pt idx="0">
                  <c:v>37.363136341300034</c:v>
                </c:pt>
                <c:pt idx="1">
                  <c:v>36.398575107766717</c:v>
                </c:pt>
                <c:pt idx="2">
                  <c:v>35.434013874233393</c:v>
                </c:pt>
                <c:pt idx="3">
                  <c:v>34.469452640700069</c:v>
                </c:pt>
                <c:pt idx="4">
                  <c:v>33.504891407166738</c:v>
                </c:pt>
                <c:pt idx="5">
                  <c:v>32.540330173633414</c:v>
                </c:pt>
                <c:pt idx="6">
                  <c:v>31.970782890200088</c:v>
                </c:pt>
                <c:pt idx="7">
                  <c:v>31.006221656666767</c:v>
                </c:pt>
                <c:pt idx="8">
                  <c:v>30.041660423133436</c:v>
                </c:pt>
                <c:pt idx="9">
                  <c:v>29.077099189600116</c:v>
                </c:pt>
                <c:pt idx="10">
                  <c:v>28.112537956066788</c:v>
                </c:pt>
                <c:pt idx="11">
                  <c:v>27.147976722533468</c:v>
                </c:pt>
                <c:pt idx="12">
                  <c:v>26.578429439100137</c:v>
                </c:pt>
                <c:pt idx="13">
                  <c:v>25.61386820556681</c:v>
                </c:pt>
                <c:pt idx="14">
                  <c:v>24.737136567733469</c:v>
                </c:pt>
                <c:pt idx="15">
                  <c:v>23.860356212000145</c:v>
                </c:pt>
                <c:pt idx="16">
                  <c:v>22.983575856266818</c:v>
                </c:pt>
                <c:pt idx="17">
                  <c:v>22.106795500533494</c:v>
                </c:pt>
                <c:pt idx="18">
                  <c:v>21.581138656000164</c:v>
                </c:pt>
                <c:pt idx="19">
                  <c:v>20.70435830026684</c:v>
                </c:pt>
                <c:pt idx="20">
                  <c:v>19.827577944533513</c:v>
                </c:pt>
                <c:pt idx="21">
                  <c:v>18.950797588800185</c:v>
                </c:pt>
                <c:pt idx="22">
                  <c:v>18.074017233066858</c:v>
                </c:pt>
                <c:pt idx="23">
                  <c:v>17.197236877333538</c:v>
                </c:pt>
                <c:pt idx="24">
                  <c:v>16.671580032800208</c:v>
                </c:pt>
                <c:pt idx="25">
                  <c:v>15.79479967706688</c:v>
                </c:pt>
                <c:pt idx="26">
                  <c:v>14.918019321333553</c:v>
                </c:pt>
                <c:pt idx="27">
                  <c:v>14.041238965600229</c:v>
                </c:pt>
                <c:pt idx="28">
                  <c:v>13.164458609866902</c:v>
                </c:pt>
                <c:pt idx="29">
                  <c:v>12.287678254133578</c:v>
                </c:pt>
                <c:pt idx="30">
                  <c:v>11.762021409600248</c:v>
                </c:pt>
                <c:pt idx="31">
                  <c:v>10.885241053866924</c:v>
                </c:pt>
                <c:pt idx="32">
                  <c:v>10.008460698133597</c:v>
                </c:pt>
                <c:pt idx="33">
                  <c:v>9.1316803424002693</c:v>
                </c:pt>
                <c:pt idx="34">
                  <c:v>8.2548999866669455</c:v>
                </c:pt>
                <c:pt idx="35">
                  <c:v>7.378119630933619</c:v>
                </c:pt>
                <c:pt idx="36">
                  <c:v>6.8524627864002907</c:v>
                </c:pt>
                <c:pt idx="37">
                  <c:v>6.1515145486668166</c:v>
                </c:pt>
                <c:pt idx="38">
                  <c:v>5.6258577041334874</c:v>
                </c:pt>
                <c:pt idx="39">
                  <c:v>5.1002008596001582</c:v>
                </c:pt>
                <c:pt idx="40">
                  <c:v>4.5745440150668255</c:v>
                </c:pt>
                <c:pt idx="41">
                  <c:v>4.048887170533483</c:v>
                </c:pt>
                <c:pt idx="42">
                  <c:v>3.6987920816001454</c:v>
                </c:pt>
                <c:pt idx="43">
                  <c:v>3.1731352370668029</c:v>
                </c:pt>
                <c:pt idx="44">
                  <c:v>2.6474783925334613</c:v>
                </c:pt>
                <c:pt idx="45">
                  <c:v>2.1218215480001197</c:v>
                </c:pt>
                <c:pt idx="46">
                  <c:v>1.5961647034667772</c:v>
                </c:pt>
                <c:pt idx="47">
                  <c:v>1.0705078589334374</c:v>
                </c:pt>
                <c:pt idx="48">
                  <c:v>0.7204127700000984</c:v>
                </c:pt>
                <c:pt idx="49">
                  <c:v>0.1947559254667568</c:v>
                </c:pt>
                <c:pt idx="50">
                  <c:v>-0.33090091906658614</c:v>
                </c:pt>
                <c:pt idx="51">
                  <c:v>-0.8565577635999273</c:v>
                </c:pt>
                <c:pt idx="52">
                  <c:v>-1.3822146081332689</c:v>
                </c:pt>
                <c:pt idx="53">
                  <c:v>-1.9078714526666118</c:v>
                </c:pt>
                <c:pt idx="54">
                  <c:v>-2.2579665415999473</c:v>
                </c:pt>
                <c:pt idx="55">
                  <c:v>-2.7836233861332906</c:v>
                </c:pt>
                <c:pt idx="56">
                  <c:v>-3.3092802306666318</c:v>
                </c:pt>
                <c:pt idx="57">
                  <c:v>-3.8349370751999752</c:v>
                </c:pt>
                <c:pt idx="58">
                  <c:v>-4.3605939197333168</c:v>
                </c:pt>
                <c:pt idx="59">
                  <c:v>-4.8862507642666593</c:v>
                </c:pt>
                <c:pt idx="60">
                  <c:v>-5.2359999999999998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C4-4F84-91F0-84D63D1C84AC}"/>
            </c:ext>
          </c:extLst>
        </c:ser>
        <c:ser>
          <c:idx val="3"/>
          <c:order val="1"/>
          <c:tx>
            <c:v>MIN</c:v>
          </c:tx>
          <c:marker>
            <c:symbol val="none"/>
          </c:marker>
          <c:xVal>
            <c:numRef>
              <c:f>'influencia corte (2)'!$C$7:$C$67</c:f>
              <c:numCache>
                <c:formatCode>0.0</c:formatCode>
                <c:ptCount val="61"/>
                <c:pt idx="0">
                  <c:v>0</c:v>
                </c:pt>
                <c:pt idx="1">
                  <c:v>0.18333333333333332</c:v>
                </c:pt>
                <c:pt idx="2">
                  <c:v>0.36666666666666664</c:v>
                </c:pt>
                <c:pt idx="3">
                  <c:v>0.54999999999999993</c:v>
                </c:pt>
                <c:pt idx="4">
                  <c:v>0.73333333333333328</c:v>
                </c:pt>
                <c:pt idx="5">
                  <c:v>0.91666666666666663</c:v>
                </c:pt>
                <c:pt idx="6">
                  <c:v>1.0999999999999999</c:v>
                </c:pt>
                <c:pt idx="7">
                  <c:v>1.2833333333333332</c:v>
                </c:pt>
                <c:pt idx="8">
                  <c:v>1.4666666666666666</c:v>
                </c:pt>
                <c:pt idx="9">
                  <c:v>1.65</c:v>
                </c:pt>
                <c:pt idx="10">
                  <c:v>1.8333333333333333</c:v>
                </c:pt>
                <c:pt idx="11">
                  <c:v>2.0166666666666666</c:v>
                </c:pt>
                <c:pt idx="12">
                  <c:v>2.1999999999999997</c:v>
                </c:pt>
                <c:pt idx="13">
                  <c:v>2.3833333333333333</c:v>
                </c:pt>
                <c:pt idx="14">
                  <c:v>2.5666666666666664</c:v>
                </c:pt>
                <c:pt idx="15">
                  <c:v>2.75</c:v>
                </c:pt>
                <c:pt idx="16">
                  <c:v>2.9333333333333331</c:v>
                </c:pt>
                <c:pt idx="17">
                  <c:v>3.1166666666666663</c:v>
                </c:pt>
                <c:pt idx="18">
                  <c:v>3.3</c:v>
                </c:pt>
                <c:pt idx="19">
                  <c:v>3.4833333333333329</c:v>
                </c:pt>
                <c:pt idx="20">
                  <c:v>3.6666666666666665</c:v>
                </c:pt>
                <c:pt idx="21">
                  <c:v>3.8499999999999996</c:v>
                </c:pt>
                <c:pt idx="22">
                  <c:v>4.0333333333333332</c:v>
                </c:pt>
                <c:pt idx="23">
                  <c:v>4.2166666666666668</c:v>
                </c:pt>
                <c:pt idx="24">
                  <c:v>4.3999999999999995</c:v>
                </c:pt>
                <c:pt idx="25">
                  <c:v>4.583333333333333</c:v>
                </c:pt>
                <c:pt idx="26">
                  <c:v>4.7666666666666666</c:v>
                </c:pt>
                <c:pt idx="27">
                  <c:v>4.9499999999999993</c:v>
                </c:pt>
                <c:pt idx="28">
                  <c:v>5.1333333333333329</c:v>
                </c:pt>
                <c:pt idx="29">
                  <c:v>5.3166666666666664</c:v>
                </c:pt>
                <c:pt idx="30">
                  <c:v>5.5</c:v>
                </c:pt>
                <c:pt idx="31">
                  <c:v>5.6833333333333327</c:v>
                </c:pt>
                <c:pt idx="32">
                  <c:v>5.8666666666666663</c:v>
                </c:pt>
                <c:pt idx="33">
                  <c:v>6.05</c:v>
                </c:pt>
                <c:pt idx="34">
                  <c:v>6.2333333333333325</c:v>
                </c:pt>
                <c:pt idx="35">
                  <c:v>6.4166666666666661</c:v>
                </c:pt>
                <c:pt idx="36">
                  <c:v>6.6</c:v>
                </c:pt>
                <c:pt idx="37">
                  <c:v>6.7833333333333332</c:v>
                </c:pt>
                <c:pt idx="38">
                  <c:v>6.9666666666666659</c:v>
                </c:pt>
                <c:pt idx="39">
                  <c:v>7.1499999999999995</c:v>
                </c:pt>
                <c:pt idx="40">
                  <c:v>7.333333333333333</c:v>
                </c:pt>
                <c:pt idx="41">
                  <c:v>7.5166666666666657</c:v>
                </c:pt>
                <c:pt idx="42">
                  <c:v>7.6999999999999993</c:v>
                </c:pt>
                <c:pt idx="43">
                  <c:v>7.8833333333333329</c:v>
                </c:pt>
                <c:pt idx="44">
                  <c:v>8.0666666666666664</c:v>
                </c:pt>
                <c:pt idx="45">
                  <c:v>8.25</c:v>
                </c:pt>
                <c:pt idx="46">
                  <c:v>8.4333333333333336</c:v>
                </c:pt>
                <c:pt idx="47">
                  <c:v>8.6166666666666654</c:v>
                </c:pt>
                <c:pt idx="48">
                  <c:v>8.7999999999999989</c:v>
                </c:pt>
                <c:pt idx="49">
                  <c:v>8.9833333333333325</c:v>
                </c:pt>
                <c:pt idx="50">
                  <c:v>9.1666666666666661</c:v>
                </c:pt>
                <c:pt idx="51">
                  <c:v>9.35</c:v>
                </c:pt>
                <c:pt idx="52">
                  <c:v>9.5333333333333332</c:v>
                </c:pt>
                <c:pt idx="53">
                  <c:v>9.7166666666666668</c:v>
                </c:pt>
                <c:pt idx="54">
                  <c:v>9.8999999999999986</c:v>
                </c:pt>
                <c:pt idx="55">
                  <c:v>10.083333333333332</c:v>
                </c:pt>
                <c:pt idx="56">
                  <c:v>10.266666666666666</c:v>
                </c:pt>
                <c:pt idx="57">
                  <c:v>10.45</c:v>
                </c:pt>
                <c:pt idx="58">
                  <c:v>10.633333333333333</c:v>
                </c:pt>
                <c:pt idx="59">
                  <c:v>10.816666666666666</c:v>
                </c:pt>
                <c:pt idx="60">
                  <c:v>11</c:v>
                </c:pt>
              </c:numCache>
            </c:numRef>
          </c:xVal>
          <c:yVal>
            <c:numRef>
              <c:f>'influencia corte (2)'!$H$7:$H$67</c:f>
              <c:numCache>
                <c:formatCode>0</c:formatCode>
                <c:ptCount val="61"/>
                <c:pt idx="0">
                  <c:v>5.2359999999999998</c:v>
                </c:pt>
                <c:pt idx="1">
                  <c:v>5.0175757888666661</c:v>
                </c:pt>
                <c:pt idx="2">
                  <c:v>4.7552615777333331</c:v>
                </c:pt>
                <c:pt idx="3">
                  <c:v>4.4929473665999993</c:v>
                </c:pt>
                <c:pt idx="4">
                  <c:v>4.2306331554666663</c:v>
                </c:pt>
                <c:pt idx="5">
                  <c:v>3.9683189443333333</c:v>
                </c:pt>
                <c:pt idx="6">
                  <c:v>3.7498951720999996</c:v>
                </c:pt>
                <c:pt idx="7">
                  <c:v>3.487580960966667</c:v>
                </c:pt>
                <c:pt idx="8">
                  <c:v>3.2252667498333332</c:v>
                </c:pt>
                <c:pt idx="9">
                  <c:v>2.9629525386999997</c:v>
                </c:pt>
                <c:pt idx="10">
                  <c:v>2.4810606076666657</c:v>
                </c:pt>
                <c:pt idx="11">
                  <c:v>1.8676228853333332</c:v>
                </c:pt>
                <c:pt idx="12">
                  <c:v>1.4736373575000004</c:v>
                </c:pt>
                <c:pt idx="13">
                  <c:v>0.86019963516666831</c:v>
                </c:pt>
                <c:pt idx="14">
                  <c:v>0.24676191283333537</c:v>
                </c:pt>
                <c:pt idx="15">
                  <c:v>-0.36667580949999667</c:v>
                </c:pt>
                <c:pt idx="16">
                  <c:v>-0.98011353183332961</c:v>
                </c:pt>
                <c:pt idx="17">
                  <c:v>-1.5935512541666608</c:v>
                </c:pt>
                <c:pt idx="18">
                  <c:v>-1.987536781999995</c:v>
                </c:pt>
                <c:pt idx="19">
                  <c:v>-2.6009745043333257</c:v>
                </c:pt>
                <c:pt idx="20">
                  <c:v>-3.2144122266666595</c:v>
                </c:pt>
                <c:pt idx="21">
                  <c:v>-3.8278499489999884</c:v>
                </c:pt>
                <c:pt idx="22">
                  <c:v>-4.4412876713333187</c:v>
                </c:pt>
                <c:pt idx="23">
                  <c:v>-5.0547253936666481</c:v>
                </c:pt>
                <c:pt idx="24">
                  <c:v>-5.4488636586999606</c:v>
                </c:pt>
                <c:pt idx="25">
                  <c:v>-6.4134248922332846</c:v>
                </c:pt>
                <c:pt idx="26">
                  <c:v>-7.3779861257666104</c:v>
                </c:pt>
                <c:pt idx="27">
                  <c:v>-8.3425473592999317</c:v>
                </c:pt>
                <c:pt idx="28">
                  <c:v>-9.3071085928332593</c:v>
                </c:pt>
                <c:pt idx="29">
                  <c:v>-10.271669826366583</c:v>
                </c:pt>
                <c:pt idx="30">
                  <c:v>-10.841217109799913</c:v>
                </c:pt>
                <c:pt idx="31">
                  <c:v>-11.805778343333236</c:v>
                </c:pt>
                <c:pt idx="32">
                  <c:v>-12.770339576866562</c:v>
                </c:pt>
                <c:pt idx="33">
                  <c:v>-13.734900810399887</c:v>
                </c:pt>
                <c:pt idx="34">
                  <c:v>-14.69946204393321</c:v>
                </c:pt>
                <c:pt idx="35">
                  <c:v>-15.664023277466537</c:v>
                </c:pt>
                <c:pt idx="36">
                  <c:v>-16.233570560899864</c:v>
                </c:pt>
                <c:pt idx="37">
                  <c:v>-17.198131794433188</c:v>
                </c:pt>
                <c:pt idx="38">
                  <c:v>-18.074863432266529</c:v>
                </c:pt>
                <c:pt idx="39">
                  <c:v>-18.951643787999856</c:v>
                </c:pt>
                <c:pt idx="40">
                  <c:v>-19.82842414373318</c:v>
                </c:pt>
                <c:pt idx="41">
                  <c:v>-20.705204499466504</c:v>
                </c:pt>
                <c:pt idx="42">
                  <c:v>-21.230861343999837</c:v>
                </c:pt>
                <c:pt idx="43">
                  <c:v>-22.107641699733161</c:v>
                </c:pt>
                <c:pt idx="44">
                  <c:v>-22.984422055466489</c:v>
                </c:pt>
                <c:pt idx="45">
                  <c:v>-23.861202411199812</c:v>
                </c:pt>
                <c:pt idx="46">
                  <c:v>-24.737982766933143</c:v>
                </c:pt>
                <c:pt idx="47">
                  <c:v>-25.614763122666464</c:v>
                </c:pt>
                <c:pt idx="48">
                  <c:v>-26.140419967199797</c:v>
                </c:pt>
                <c:pt idx="49">
                  <c:v>-27.017200322933125</c:v>
                </c:pt>
                <c:pt idx="50">
                  <c:v>-27.893980678666445</c:v>
                </c:pt>
                <c:pt idx="51">
                  <c:v>-28.770761034399772</c:v>
                </c:pt>
                <c:pt idx="52">
                  <c:v>-29.647541390133092</c:v>
                </c:pt>
                <c:pt idx="53">
                  <c:v>-30.524321745866427</c:v>
                </c:pt>
                <c:pt idx="54">
                  <c:v>-31.049978590399753</c:v>
                </c:pt>
                <c:pt idx="55">
                  <c:v>-31.926758946133077</c:v>
                </c:pt>
                <c:pt idx="56">
                  <c:v>-32.803539301866401</c:v>
                </c:pt>
                <c:pt idx="57">
                  <c:v>-33.680319657599725</c:v>
                </c:pt>
                <c:pt idx="58">
                  <c:v>-34.557100013333056</c:v>
                </c:pt>
                <c:pt idx="59">
                  <c:v>-35.43388036906638</c:v>
                </c:pt>
                <c:pt idx="60">
                  <c:v>-35.959537213599702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C4-4F84-91F0-84D63D1C84AC}"/>
            </c:ext>
          </c:extLst>
        </c:ser>
        <c:ser>
          <c:idx val="0"/>
          <c:order val="2"/>
          <c:tx>
            <c:v>MAX FAT</c:v>
          </c:tx>
          <c:spPr>
            <a:ln>
              <a:prstDash val="dash"/>
            </a:ln>
          </c:spPr>
          <c:marker>
            <c:symbol val="none"/>
          </c:marker>
          <c:xVal>
            <c:numRef>
              <c:f>'influencia corte (2)'!$C$7:$C$67</c:f>
              <c:numCache>
                <c:formatCode>0.0</c:formatCode>
                <c:ptCount val="61"/>
                <c:pt idx="0">
                  <c:v>0</c:v>
                </c:pt>
                <c:pt idx="1">
                  <c:v>0.18333333333333332</c:v>
                </c:pt>
                <c:pt idx="2">
                  <c:v>0.36666666666666664</c:v>
                </c:pt>
                <c:pt idx="3">
                  <c:v>0.54999999999999993</c:v>
                </c:pt>
                <c:pt idx="4">
                  <c:v>0.73333333333333328</c:v>
                </c:pt>
                <c:pt idx="5">
                  <c:v>0.91666666666666663</c:v>
                </c:pt>
                <c:pt idx="6">
                  <c:v>1.0999999999999999</c:v>
                </c:pt>
                <c:pt idx="7">
                  <c:v>1.2833333333333332</c:v>
                </c:pt>
                <c:pt idx="8">
                  <c:v>1.4666666666666666</c:v>
                </c:pt>
                <c:pt idx="9">
                  <c:v>1.65</c:v>
                </c:pt>
                <c:pt idx="10">
                  <c:v>1.8333333333333333</c:v>
                </c:pt>
                <c:pt idx="11">
                  <c:v>2.0166666666666666</c:v>
                </c:pt>
                <c:pt idx="12">
                  <c:v>2.1999999999999997</c:v>
                </c:pt>
                <c:pt idx="13">
                  <c:v>2.3833333333333333</c:v>
                </c:pt>
                <c:pt idx="14">
                  <c:v>2.5666666666666664</c:v>
                </c:pt>
                <c:pt idx="15">
                  <c:v>2.75</c:v>
                </c:pt>
                <c:pt idx="16">
                  <c:v>2.9333333333333331</c:v>
                </c:pt>
                <c:pt idx="17">
                  <c:v>3.1166666666666663</c:v>
                </c:pt>
                <c:pt idx="18">
                  <c:v>3.3</c:v>
                </c:pt>
                <c:pt idx="19">
                  <c:v>3.4833333333333329</c:v>
                </c:pt>
                <c:pt idx="20">
                  <c:v>3.6666666666666665</c:v>
                </c:pt>
                <c:pt idx="21">
                  <c:v>3.8499999999999996</c:v>
                </c:pt>
                <c:pt idx="22">
                  <c:v>4.0333333333333332</c:v>
                </c:pt>
                <c:pt idx="23">
                  <c:v>4.2166666666666668</c:v>
                </c:pt>
                <c:pt idx="24">
                  <c:v>4.3999999999999995</c:v>
                </c:pt>
                <c:pt idx="25">
                  <c:v>4.583333333333333</c:v>
                </c:pt>
                <c:pt idx="26">
                  <c:v>4.7666666666666666</c:v>
                </c:pt>
                <c:pt idx="27">
                  <c:v>4.9499999999999993</c:v>
                </c:pt>
                <c:pt idx="28">
                  <c:v>5.1333333333333329</c:v>
                </c:pt>
                <c:pt idx="29">
                  <c:v>5.3166666666666664</c:v>
                </c:pt>
                <c:pt idx="30">
                  <c:v>5.5</c:v>
                </c:pt>
                <c:pt idx="31">
                  <c:v>5.6833333333333327</c:v>
                </c:pt>
                <c:pt idx="32">
                  <c:v>5.8666666666666663</c:v>
                </c:pt>
                <c:pt idx="33">
                  <c:v>6.05</c:v>
                </c:pt>
                <c:pt idx="34">
                  <c:v>6.2333333333333325</c:v>
                </c:pt>
                <c:pt idx="35">
                  <c:v>6.4166666666666661</c:v>
                </c:pt>
                <c:pt idx="36">
                  <c:v>6.6</c:v>
                </c:pt>
                <c:pt idx="37">
                  <c:v>6.7833333333333332</c:v>
                </c:pt>
                <c:pt idx="38">
                  <c:v>6.9666666666666659</c:v>
                </c:pt>
                <c:pt idx="39">
                  <c:v>7.1499999999999995</c:v>
                </c:pt>
                <c:pt idx="40">
                  <c:v>7.333333333333333</c:v>
                </c:pt>
                <c:pt idx="41">
                  <c:v>7.5166666666666657</c:v>
                </c:pt>
                <c:pt idx="42">
                  <c:v>7.6999999999999993</c:v>
                </c:pt>
                <c:pt idx="43">
                  <c:v>7.8833333333333329</c:v>
                </c:pt>
                <c:pt idx="44">
                  <c:v>8.0666666666666664</c:v>
                </c:pt>
                <c:pt idx="45">
                  <c:v>8.25</c:v>
                </c:pt>
                <c:pt idx="46">
                  <c:v>8.4333333333333336</c:v>
                </c:pt>
                <c:pt idx="47">
                  <c:v>8.6166666666666654</c:v>
                </c:pt>
                <c:pt idx="48">
                  <c:v>8.7999999999999989</c:v>
                </c:pt>
                <c:pt idx="49">
                  <c:v>8.9833333333333325</c:v>
                </c:pt>
                <c:pt idx="50">
                  <c:v>9.1666666666666661</c:v>
                </c:pt>
                <c:pt idx="51">
                  <c:v>9.35</c:v>
                </c:pt>
                <c:pt idx="52">
                  <c:v>9.5333333333333332</c:v>
                </c:pt>
                <c:pt idx="53">
                  <c:v>9.7166666666666668</c:v>
                </c:pt>
                <c:pt idx="54">
                  <c:v>9.8999999999999986</c:v>
                </c:pt>
                <c:pt idx="55">
                  <c:v>10.083333333333332</c:v>
                </c:pt>
                <c:pt idx="56">
                  <c:v>10.266666666666666</c:v>
                </c:pt>
                <c:pt idx="57">
                  <c:v>10.45</c:v>
                </c:pt>
                <c:pt idx="58">
                  <c:v>10.633333333333333</c:v>
                </c:pt>
                <c:pt idx="59">
                  <c:v>10.816666666666666</c:v>
                </c:pt>
                <c:pt idx="60">
                  <c:v>11</c:v>
                </c:pt>
              </c:numCache>
            </c:numRef>
          </c:xVal>
          <c:yVal>
            <c:numRef>
              <c:f>'influencia corte (2)'!$K$7:$K$67</c:f>
              <c:numCache>
                <c:formatCode>0</c:formatCode>
                <c:ptCount val="61"/>
                <c:pt idx="0">
                  <c:v>27.613785536634193</c:v>
                </c:pt>
                <c:pt idx="1">
                  <c:v>26.989729496136203</c:v>
                </c:pt>
                <c:pt idx="2">
                  <c:v>26.365673455638202</c:v>
                </c:pt>
                <c:pt idx="3">
                  <c:v>25.741617415140215</c:v>
                </c:pt>
                <c:pt idx="4">
                  <c:v>25.117561374642221</c:v>
                </c:pt>
                <c:pt idx="5">
                  <c:v>24.493505334144228</c:v>
                </c:pt>
                <c:pt idx="6">
                  <c:v>24.181477313895229</c:v>
                </c:pt>
                <c:pt idx="7">
                  <c:v>23.557421273397235</c:v>
                </c:pt>
                <c:pt idx="8">
                  <c:v>22.933365232899241</c:v>
                </c:pt>
                <c:pt idx="9">
                  <c:v>22.309309192401251</c:v>
                </c:pt>
                <c:pt idx="10">
                  <c:v>21.685253151903254</c:v>
                </c:pt>
                <c:pt idx="11">
                  <c:v>21.061197111405264</c:v>
                </c:pt>
                <c:pt idx="12">
                  <c:v>20.749169091156269</c:v>
                </c:pt>
                <c:pt idx="13">
                  <c:v>20.125113050658275</c:v>
                </c:pt>
                <c:pt idx="14">
                  <c:v>19.501057010160284</c:v>
                </c:pt>
                <c:pt idx="15">
                  <c:v>18.877000969662273</c:v>
                </c:pt>
                <c:pt idx="16">
                  <c:v>18.252944929164258</c:v>
                </c:pt>
                <c:pt idx="17">
                  <c:v>17.628888888666243</c:v>
                </c:pt>
                <c:pt idx="18">
                  <c:v>17.316860868417233</c:v>
                </c:pt>
                <c:pt idx="19">
                  <c:v>16.692804827919218</c:v>
                </c:pt>
                <c:pt idx="20">
                  <c:v>16.068748787421203</c:v>
                </c:pt>
                <c:pt idx="21">
                  <c:v>15.44469274692319</c:v>
                </c:pt>
                <c:pt idx="22">
                  <c:v>14.820636706425175</c:v>
                </c:pt>
                <c:pt idx="23">
                  <c:v>14.196580665927158</c:v>
                </c:pt>
                <c:pt idx="24">
                  <c:v>13.88455264567815</c:v>
                </c:pt>
                <c:pt idx="25">
                  <c:v>13.260496605180137</c:v>
                </c:pt>
                <c:pt idx="26">
                  <c:v>12.63644056468212</c:v>
                </c:pt>
                <c:pt idx="27">
                  <c:v>12.012384524184107</c:v>
                </c:pt>
                <c:pt idx="28">
                  <c:v>11.388328483686092</c:v>
                </c:pt>
                <c:pt idx="29">
                  <c:v>10.764272443188077</c:v>
                </c:pt>
                <c:pt idx="30">
                  <c:v>10.452244422939067</c:v>
                </c:pt>
                <c:pt idx="31">
                  <c:v>9.8281883824410521</c:v>
                </c:pt>
                <c:pt idx="32">
                  <c:v>9.2041323419430388</c:v>
                </c:pt>
                <c:pt idx="33">
                  <c:v>8.5800763014450219</c:v>
                </c:pt>
                <c:pt idx="34">
                  <c:v>7.9560202609470068</c:v>
                </c:pt>
                <c:pt idx="35">
                  <c:v>7.3319642204489908</c:v>
                </c:pt>
                <c:pt idx="36">
                  <c:v>7.0199362001999832</c:v>
                </c:pt>
                <c:pt idx="37">
                  <c:v>6.5522077548509845</c:v>
                </c:pt>
                <c:pt idx="38">
                  <c:v>6.2401797346019769</c:v>
                </c:pt>
                <c:pt idx="39">
                  <c:v>5.9281517143529694</c:v>
                </c:pt>
                <c:pt idx="40">
                  <c:v>5.616123694103961</c:v>
                </c:pt>
                <c:pt idx="41">
                  <c:v>5.3040956738549543</c:v>
                </c:pt>
                <c:pt idx="42">
                  <c:v>5.1480816637304505</c:v>
                </c:pt>
                <c:pt idx="43">
                  <c:v>4.836053643481443</c:v>
                </c:pt>
                <c:pt idx="44">
                  <c:v>4.5240256232324354</c:v>
                </c:pt>
                <c:pt idx="45">
                  <c:v>4.2119976029834278</c:v>
                </c:pt>
                <c:pt idx="46">
                  <c:v>3.8999695827344198</c:v>
                </c:pt>
                <c:pt idx="47">
                  <c:v>3.5879415624854123</c:v>
                </c:pt>
                <c:pt idx="48">
                  <c:v>3.4319275523609081</c:v>
                </c:pt>
                <c:pt idx="49">
                  <c:v>3.1198995321119005</c:v>
                </c:pt>
                <c:pt idx="50">
                  <c:v>2.807871511862893</c:v>
                </c:pt>
                <c:pt idx="51">
                  <c:v>2.4958434916138859</c:v>
                </c:pt>
                <c:pt idx="52">
                  <c:v>2.1838154713648783</c:v>
                </c:pt>
                <c:pt idx="53">
                  <c:v>1.8717874511158703</c:v>
                </c:pt>
                <c:pt idx="54">
                  <c:v>1.7157734409913665</c:v>
                </c:pt>
                <c:pt idx="55">
                  <c:v>1.403745420742359</c:v>
                </c:pt>
                <c:pt idx="56">
                  <c:v>1.0917174004933514</c:v>
                </c:pt>
                <c:pt idx="57">
                  <c:v>0.77968938024434387</c:v>
                </c:pt>
                <c:pt idx="58">
                  <c:v>0.46766135999533626</c:v>
                </c:pt>
                <c:pt idx="59">
                  <c:v>0.15563333974632867</c:v>
                </c:pt>
                <c:pt idx="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C4-4F84-91F0-84D63D1C84AC}"/>
            </c:ext>
          </c:extLst>
        </c:ser>
        <c:ser>
          <c:idx val="1"/>
          <c:order val="3"/>
          <c:tx>
            <c:v>MIN FAT</c:v>
          </c:tx>
          <c:spPr>
            <a:ln>
              <a:prstDash val="dash"/>
            </a:ln>
          </c:spPr>
          <c:marker>
            <c:symbol val="none"/>
          </c:marker>
          <c:xVal>
            <c:numRef>
              <c:f>'influencia corte (2)'!$C$7:$C$67</c:f>
              <c:numCache>
                <c:formatCode>0.0</c:formatCode>
                <c:ptCount val="61"/>
                <c:pt idx="0">
                  <c:v>0</c:v>
                </c:pt>
                <c:pt idx="1">
                  <c:v>0.18333333333333332</c:v>
                </c:pt>
                <c:pt idx="2">
                  <c:v>0.36666666666666664</c:v>
                </c:pt>
                <c:pt idx="3">
                  <c:v>0.54999999999999993</c:v>
                </c:pt>
                <c:pt idx="4">
                  <c:v>0.73333333333333328</c:v>
                </c:pt>
                <c:pt idx="5">
                  <c:v>0.91666666666666663</c:v>
                </c:pt>
                <c:pt idx="6">
                  <c:v>1.0999999999999999</c:v>
                </c:pt>
                <c:pt idx="7">
                  <c:v>1.2833333333333332</c:v>
                </c:pt>
                <c:pt idx="8">
                  <c:v>1.4666666666666666</c:v>
                </c:pt>
                <c:pt idx="9">
                  <c:v>1.65</c:v>
                </c:pt>
                <c:pt idx="10">
                  <c:v>1.8333333333333333</c:v>
                </c:pt>
                <c:pt idx="11">
                  <c:v>2.0166666666666666</c:v>
                </c:pt>
                <c:pt idx="12">
                  <c:v>2.1999999999999997</c:v>
                </c:pt>
                <c:pt idx="13">
                  <c:v>2.3833333333333333</c:v>
                </c:pt>
                <c:pt idx="14">
                  <c:v>2.5666666666666664</c:v>
                </c:pt>
                <c:pt idx="15">
                  <c:v>2.75</c:v>
                </c:pt>
                <c:pt idx="16">
                  <c:v>2.9333333333333331</c:v>
                </c:pt>
                <c:pt idx="17">
                  <c:v>3.1166666666666663</c:v>
                </c:pt>
                <c:pt idx="18">
                  <c:v>3.3</c:v>
                </c:pt>
                <c:pt idx="19">
                  <c:v>3.4833333333333329</c:v>
                </c:pt>
                <c:pt idx="20">
                  <c:v>3.6666666666666665</c:v>
                </c:pt>
                <c:pt idx="21">
                  <c:v>3.8499999999999996</c:v>
                </c:pt>
                <c:pt idx="22">
                  <c:v>4.0333333333333332</c:v>
                </c:pt>
                <c:pt idx="23">
                  <c:v>4.2166666666666668</c:v>
                </c:pt>
                <c:pt idx="24">
                  <c:v>4.3999999999999995</c:v>
                </c:pt>
                <c:pt idx="25">
                  <c:v>4.583333333333333</c:v>
                </c:pt>
                <c:pt idx="26">
                  <c:v>4.7666666666666666</c:v>
                </c:pt>
                <c:pt idx="27">
                  <c:v>4.9499999999999993</c:v>
                </c:pt>
                <c:pt idx="28">
                  <c:v>5.1333333333333329</c:v>
                </c:pt>
                <c:pt idx="29">
                  <c:v>5.3166666666666664</c:v>
                </c:pt>
                <c:pt idx="30">
                  <c:v>5.5</c:v>
                </c:pt>
                <c:pt idx="31">
                  <c:v>5.6833333333333327</c:v>
                </c:pt>
                <c:pt idx="32">
                  <c:v>5.8666666666666663</c:v>
                </c:pt>
                <c:pt idx="33">
                  <c:v>6.05</c:v>
                </c:pt>
                <c:pt idx="34">
                  <c:v>6.2333333333333325</c:v>
                </c:pt>
                <c:pt idx="35">
                  <c:v>6.4166666666666661</c:v>
                </c:pt>
                <c:pt idx="36">
                  <c:v>6.6</c:v>
                </c:pt>
                <c:pt idx="37">
                  <c:v>6.7833333333333332</c:v>
                </c:pt>
                <c:pt idx="38">
                  <c:v>6.9666666666666659</c:v>
                </c:pt>
                <c:pt idx="39">
                  <c:v>7.1499999999999995</c:v>
                </c:pt>
                <c:pt idx="40">
                  <c:v>7.333333333333333</c:v>
                </c:pt>
                <c:pt idx="41">
                  <c:v>7.5166666666666657</c:v>
                </c:pt>
                <c:pt idx="42">
                  <c:v>7.6999999999999993</c:v>
                </c:pt>
                <c:pt idx="43">
                  <c:v>7.8833333333333329</c:v>
                </c:pt>
                <c:pt idx="44">
                  <c:v>8.0666666666666664</c:v>
                </c:pt>
                <c:pt idx="45">
                  <c:v>8.25</c:v>
                </c:pt>
                <c:pt idx="46">
                  <c:v>8.4333333333333336</c:v>
                </c:pt>
                <c:pt idx="47">
                  <c:v>8.6166666666666654</c:v>
                </c:pt>
                <c:pt idx="48">
                  <c:v>8.7999999999999989</c:v>
                </c:pt>
                <c:pt idx="49">
                  <c:v>8.9833333333333325</c:v>
                </c:pt>
                <c:pt idx="50">
                  <c:v>9.1666666666666661</c:v>
                </c:pt>
                <c:pt idx="51">
                  <c:v>9.35</c:v>
                </c:pt>
                <c:pt idx="52">
                  <c:v>9.5333333333333332</c:v>
                </c:pt>
                <c:pt idx="53">
                  <c:v>9.7166666666666668</c:v>
                </c:pt>
                <c:pt idx="54">
                  <c:v>9.8999999999999986</c:v>
                </c:pt>
                <c:pt idx="55">
                  <c:v>10.083333333333332</c:v>
                </c:pt>
                <c:pt idx="56">
                  <c:v>10.266666666666666</c:v>
                </c:pt>
                <c:pt idx="57">
                  <c:v>10.45</c:v>
                </c:pt>
                <c:pt idx="58">
                  <c:v>10.633333333333333</c:v>
                </c:pt>
                <c:pt idx="59">
                  <c:v>10.816666666666666</c:v>
                </c:pt>
                <c:pt idx="60">
                  <c:v>11</c:v>
                </c:pt>
              </c:numCache>
            </c:numRef>
          </c:xVal>
          <c:yVal>
            <c:numRef>
              <c:f>'influencia corte (2)'!$L$7:$L$67</c:f>
              <c:numCache>
                <c:formatCode>0</c:formatCode>
                <c:ptCount val="61"/>
                <c:pt idx="0">
                  <c:v>0</c:v>
                </c:pt>
                <c:pt idx="1">
                  <c:v>-3.7950759000000001E-2</c:v>
                </c:pt>
                <c:pt idx="2">
                  <c:v>-0.11385151799999998</c:v>
                </c:pt>
                <c:pt idx="3">
                  <c:v>-0.21099845395196051</c:v>
                </c:pt>
                <c:pt idx="4">
                  <c:v>-0.59892723320095609</c:v>
                </c:pt>
                <c:pt idx="5">
                  <c:v>-0.9868560124499518</c:v>
                </c:pt>
                <c:pt idx="6">
                  <c:v>-1.1808204020744495</c:v>
                </c:pt>
                <c:pt idx="7">
                  <c:v>-1.5687491813234455</c:v>
                </c:pt>
                <c:pt idx="8">
                  <c:v>-1.9566779605724411</c:v>
                </c:pt>
                <c:pt idx="9">
                  <c:v>-2.3446067398214363</c:v>
                </c:pt>
                <c:pt idx="10">
                  <c:v>-2.7325355190704324</c:v>
                </c:pt>
                <c:pt idx="11">
                  <c:v>-3.1204642983194284</c:v>
                </c:pt>
                <c:pt idx="12">
                  <c:v>-3.27643618394394</c:v>
                </c:pt>
                <c:pt idx="13">
                  <c:v>-3.5884642041929364</c:v>
                </c:pt>
                <c:pt idx="14">
                  <c:v>-3.9004922244419333</c:v>
                </c:pt>
                <c:pt idx="15">
                  <c:v>-4.2125202446909293</c:v>
                </c:pt>
                <c:pt idx="16">
                  <c:v>-4.5245482649399262</c:v>
                </c:pt>
                <c:pt idx="17">
                  <c:v>-4.8365762851889222</c:v>
                </c:pt>
                <c:pt idx="18">
                  <c:v>-4.9925902953134216</c:v>
                </c:pt>
                <c:pt idx="19">
                  <c:v>-5.3046183155624176</c:v>
                </c:pt>
                <c:pt idx="20">
                  <c:v>-5.6166463358114145</c:v>
                </c:pt>
                <c:pt idx="21">
                  <c:v>-5.9286743560604105</c:v>
                </c:pt>
                <c:pt idx="22">
                  <c:v>-6.2407023763094074</c:v>
                </c:pt>
                <c:pt idx="23">
                  <c:v>-6.5527303965584034</c:v>
                </c:pt>
                <c:pt idx="24">
                  <c:v>-6.7089534633658037</c:v>
                </c:pt>
                <c:pt idx="25">
                  <c:v>-7.3330095038637966</c:v>
                </c:pt>
                <c:pt idx="26">
                  <c:v>-7.9570655443617904</c:v>
                </c:pt>
                <c:pt idx="27">
                  <c:v>-8.5811215848597833</c:v>
                </c:pt>
                <c:pt idx="28">
                  <c:v>-9.2051776253577753</c:v>
                </c:pt>
                <c:pt idx="29">
                  <c:v>-9.8292336658557691</c:v>
                </c:pt>
                <c:pt idx="30">
                  <c:v>-10.141261686104766</c:v>
                </c:pt>
                <c:pt idx="31">
                  <c:v>-10.765317726602758</c:v>
                </c:pt>
                <c:pt idx="32">
                  <c:v>-11.389373767100752</c:v>
                </c:pt>
                <c:pt idx="33">
                  <c:v>-12.013429807598744</c:v>
                </c:pt>
                <c:pt idx="34">
                  <c:v>-12.637485848096739</c:v>
                </c:pt>
                <c:pt idx="35">
                  <c:v>-13.261541888594731</c:v>
                </c:pt>
                <c:pt idx="36">
                  <c:v>-13.573569908843728</c:v>
                </c:pt>
                <c:pt idx="37">
                  <c:v>-14.197625949341722</c:v>
                </c:pt>
                <c:pt idx="38">
                  <c:v>-14.821681989839712</c:v>
                </c:pt>
                <c:pt idx="39">
                  <c:v>-15.44573803033772</c:v>
                </c:pt>
                <c:pt idx="40">
                  <c:v>-16.069794070835737</c:v>
                </c:pt>
                <c:pt idx="41">
                  <c:v>-16.693850111333752</c:v>
                </c:pt>
                <c:pt idx="42">
                  <c:v>-17.005878131582762</c:v>
                </c:pt>
                <c:pt idx="43">
                  <c:v>-17.629934172080777</c:v>
                </c:pt>
                <c:pt idx="44">
                  <c:v>-18.253990212578792</c:v>
                </c:pt>
                <c:pt idx="45">
                  <c:v>-18.878046253076803</c:v>
                </c:pt>
                <c:pt idx="46">
                  <c:v>-19.502102293574822</c:v>
                </c:pt>
                <c:pt idx="47">
                  <c:v>-20.126158334072837</c:v>
                </c:pt>
                <c:pt idx="48">
                  <c:v>-20.438186354321846</c:v>
                </c:pt>
                <c:pt idx="49">
                  <c:v>-21.062242394819858</c:v>
                </c:pt>
                <c:pt idx="50">
                  <c:v>-21.686298435317877</c:v>
                </c:pt>
                <c:pt idx="51">
                  <c:v>-22.310354475815888</c:v>
                </c:pt>
                <c:pt idx="52">
                  <c:v>-22.934410516313907</c:v>
                </c:pt>
                <c:pt idx="53">
                  <c:v>-23.558466556811922</c:v>
                </c:pt>
                <c:pt idx="54">
                  <c:v>-23.870494577060928</c:v>
                </c:pt>
                <c:pt idx="55">
                  <c:v>-24.494550617558946</c:v>
                </c:pt>
                <c:pt idx="56">
                  <c:v>-25.118606658056958</c:v>
                </c:pt>
                <c:pt idx="57">
                  <c:v>-25.742662698554973</c:v>
                </c:pt>
                <c:pt idx="58">
                  <c:v>-26.366718739052992</c:v>
                </c:pt>
                <c:pt idx="59">
                  <c:v>-26.990774779551003</c:v>
                </c:pt>
                <c:pt idx="60">
                  <c:v>-27.302802799800009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C4-4F84-91F0-84D63D1C84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94880"/>
        <c:axId val="39996416"/>
      </c:scatterChart>
      <c:valAx>
        <c:axId val="39994880"/>
        <c:scaling>
          <c:orientation val="minMax"/>
          <c:max val="21"/>
          <c:min val="0"/>
        </c:scaling>
        <c:delete val="0"/>
        <c:axPos val="b"/>
        <c:minorGridlines/>
        <c:numFmt formatCode="0.0" sourceLinked="1"/>
        <c:majorTickMark val="out"/>
        <c:minorTickMark val="none"/>
        <c:tickLblPos val="nextTo"/>
        <c:spPr>
          <a:ln>
            <a:gradFill>
              <a:gsLst>
                <a:gs pos="0">
                  <a:schemeClr val="accent1">
                    <a:tint val="66000"/>
                    <a:satMod val="160000"/>
                  </a:schemeClr>
                </a:gs>
                <a:gs pos="62920">
                  <a:srgbClr val="CEDAF0"/>
                </a:gs>
                <a:gs pos="4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a:ln>
        </c:spPr>
        <c:crossAx val="39996416"/>
        <c:crosses val="autoZero"/>
        <c:crossBetween val="midCat"/>
        <c:minorUnit val="5"/>
      </c:valAx>
      <c:valAx>
        <c:axId val="39996416"/>
        <c:scaling>
          <c:orientation val="minMax"/>
          <c:max val="80"/>
          <c:min val="-60"/>
        </c:scaling>
        <c:delete val="0"/>
        <c:axPos val="l"/>
        <c:majorGridlines/>
        <c:minorGridlines/>
        <c:numFmt formatCode="0" sourceLinked="1"/>
        <c:majorTickMark val="out"/>
        <c:minorTickMark val="none"/>
        <c:tickLblPos val="nextTo"/>
        <c:crossAx val="39994880"/>
        <c:crosses val="autoZero"/>
        <c:crossBetween val="midCat"/>
        <c:minorUnit val="10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171451</xdr:colOff>
      <xdr:row>75</xdr:row>
      <xdr:rowOff>152399</xdr:rowOff>
    </xdr:from>
    <xdr:to>
      <xdr:col>12</xdr:col>
      <xdr:colOff>200026</xdr:colOff>
      <xdr:row>103</xdr:row>
      <xdr:rowOff>142875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247649</xdr:colOff>
      <xdr:row>68</xdr:row>
      <xdr:rowOff>161924</xdr:rowOff>
    </xdr:from>
    <xdr:to>
      <xdr:col>11</xdr:col>
      <xdr:colOff>809625</xdr:colOff>
      <xdr:row>91</xdr:row>
      <xdr:rowOff>161925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O61"/>
  <sheetViews>
    <sheetView showGridLines="0" zoomScaleNormal="100" workbookViewId="0">
      <selection activeCell="M23" sqref="M23"/>
    </sheetView>
  </sheetViews>
  <sheetFormatPr defaultColWidth="11.42578125" defaultRowHeight="15" x14ac:dyDescent="0.25"/>
  <cols>
    <col min="1" max="1" width="29.140625" style="1" customWidth="1"/>
    <col min="2" max="3" width="6.140625" style="1" customWidth="1"/>
    <col min="4" max="5" width="6.140625" style="1" hidden="1" customWidth="1"/>
    <col min="6" max="11" width="6.140625" style="1" customWidth="1"/>
    <col min="12" max="12" width="8.7109375" style="1" hidden="1" customWidth="1"/>
    <col min="13" max="14" width="6.140625" style="1" customWidth="1"/>
    <col min="15" max="16" width="6.140625" style="1" hidden="1" customWidth="1"/>
    <col min="17" max="20" width="6.140625" style="1" customWidth="1"/>
    <col min="21" max="22" width="6.140625" style="1" hidden="1" customWidth="1"/>
    <col min="23" max="24" width="6.140625" style="1" customWidth="1"/>
    <col min="25" max="26" width="6.140625" style="1" hidden="1" customWidth="1"/>
    <col min="27" max="39" width="6.140625" style="1" customWidth="1"/>
    <col min="40" max="16384" width="11.42578125" style="1"/>
  </cols>
  <sheetData>
    <row r="1" spans="1:37" x14ac:dyDescent="0.25">
      <c r="A1" s="13" t="s">
        <v>118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</row>
    <row r="2" spans="1:37" x14ac:dyDescent="0.25">
      <c r="A2" s="14" t="s">
        <v>0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</row>
    <row r="3" spans="1:37" x14ac:dyDescent="0.25">
      <c r="A3" s="14" t="s">
        <v>1</v>
      </c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</row>
    <row r="4" spans="1:37" x14ac:dyDescent="0.25">
      <c r="A4" s="14" t="s">
        <v>2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</row>
    <row r="5" spans="1:37" x14ac:dyDescent="0.25">
      <c r="A5" s="14" t="s">
        <v>3</v>
      </c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</row>
    <row r="6" spans="1:37" s="12" customFormat="1" ht="27.75" customHeight="1" x14ac:dyDescent="0.25">
      <c r="A6" s="66" t="s">
        <v>64</v>
      </c>
      <c r="B6" s="66"/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</row>
    <row r="7" spans="1:37" x14ac:dyDescent="0.25">
      <c r="A7" s="14" t="s">
        <v>4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</row>
    <row r="8" spans="1:37" x14ac:dyDescent="0.25">
      <c r="A8" s="14" t="s">
        <v>63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</row>
    <row r="9" spans="1:37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</row>
    <row r="10" spans="1:37" x14ac:dyDescent="0.25">
      <c r="A10" s="13" t="s">
        <v>119</v>
      </c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</row>
    <row r="11" spans="1:37" x14ac:dyDescent="0.25">
      <c r="A11" s="14" t="s">
        <v>5</v>
      </c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</row>
    <row r="12" spans="1:37" x14ac:dyDescent="0.25">
      <c r="A12" s="14" t="s">
        <v>6</v>
      </c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</row>
    <row r="13" spans="1:37" x14ac:dyDescent="0.25">
      <c r="A13" s="14" t="s">
        <v>7</v>
      </c>
      <c r="B13" s="14"/>
      <c r="C13" s="14"/>
      <c r="D13" s="14"/>
      <c r="E13" s="14"/>
      <c r="F13" s="14"/>
      <c r="G13" s="14"/>
      <c r="H13" s="14"/>
      <c r="I13" s="14" t="s">
        <v>117</v>
      </c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</row>
    <row r="14" spans="1:37" x14ac:dyDescent="0.25">
      <c r="A14" s="14" t="s">
        <v>8</v>
      </c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</row>
    <row r="15" spans="1:37" x14ac:dyDescent="0.25">
      <c r="A15" s="14" t="s">
        <v>9</v>
      </c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</row>
    <row r="16" spans="1:37" x14ac:dyDescent="0.25">
      <c r="A16" s="14" t="s">
        <v>10</v>
      </c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</row>
    <row r="17" spans="1:39" x14ac:dyDescent="0.25">
      <c r="A17" s="14" t="s">
        <v>11</v>
      </c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</row>
    <row r="18" spans="1:39" x14ac:dyDescent="0.25">
      <c r="A18" s="14" t="s">
        <v>133</v>
      </c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</row>
    <row r="19" spans="1:39" x14ac:dyDescent="0.25">
      <c r="A19" s="14" t="s">
        <v>12</v>
      </c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</row>
    <row r="20" spans="1:39" x14ac:dyDescent="0.25">
      <c r="A20" s="14" t="s">
        <v>13</v>
      </c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</row>
    <row r="21" spans="1:39" x14ac:dyDescent="0.25">
      <c r="A21" s="14" t="s">
        <v>14</v>
      </c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</row>
    <row r="22" spans="1:39" x14ac:dyDescent="0.25">
      <c r="A22" s="14" t="s">
        <v>15</v>
      </c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</row>
    <row r="23" spans="1:39" x14ac:dyDescent="0.25">
      <c r="A23" s="14" t="s">
        <v>16</v>
      </c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</row>
    <row r="24" spans="1:39" x14ac:dyDescent="0.25">
      <c r="A24" s="14" t="s">
        <v>17</v>
      </c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</row>
    <row r="25" spans="1:39" x14ac:dyDescent="0.25">
      <c r="A25" s="14" t="s">
        <v>18</v>
      </c>
      <c r="B25" s="14"/>
      <c r="C25" s="14"/>
      <c r="D25" s="14"/>
      <c r="E25" s="14"/>
      <c r="F25" s="14"/>
      <c r="G25" s="14"/>
      <c r="H25" s="14" t="s">
        <v>143</v>
      </c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</row>
    <row r="26" spans="1:39" x14ac:dyDescent="0.25">
      <c r="A26" s="14" t="s">
        <v>19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</row>
    <row r="27" spans="1:39" x14ac:dyDescent="0.25">
      <c r="A27" s="14" t="s">
        <v>20</v>
      </c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</row>
    <row r="28" spans="1:39" x14ac:dyDescent="0.25">
      <c r="A28" s="14" t="s">
        <v>21</v>
      </c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 t="s">
        <v>61</v>
      </c>
      <c r="AI28" s="14"/>
      <c r="AJ28" s="14"/>
      <c r="AK28" s="14"/>
    </row>
    <row r="29" spans="1:39" x14ac:dyDescent="0.25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 t="s">
        <v>62</v>
      </c>
      <c r="AH29" s="14"/>
      <c r="AI29" s="14"/>
      <c r="AJ29" s="14"/>
      <c r="AK29" s="14"/>
    </row>
    <row r="30" spans="1:39" x14ac:dyDescent="0.25">
      <c r="A30" s="15"/>
      <c r="B30" s="16" t="s">
        <v>44</v>
      </c>
      <c r="C30" s="16" t="s">
        <v>43</v>
      </c>
      <c r="D30" s="16" t="s">
        <v>43</v>
      </c>
      <c r="E30" s="16" t="s">
        <v>44</v>
      </c>
      <c r="F30" s="16" t="s">
        <v>44</v>
      </c>
      <c r="G30" s="16" t="s">
        <v>43</v>
      </c>
      <c r="H30" s="16" t="s">
        <v>43</v>
      </c>
      <c r="I30" s="16" t="s">
        <v>44</v>
      </c>
      <c r="J30" s="16" t="s">
        <v>43</v>
      </c>
      <c r="K30" s="16" t="s">
        <v>44</v>
      </c>
      <c r="L30" s="16" t="s">
        <v>44</v>
      </c>
      <c r="M30" s="16" t="s">
        <v>43</v>
      </c>
      <c r="N30" s="16" t="s">
        <v>44</v>
      </c>
      <c r="O30" s="16" t="s">
        <v>43</v>
      </c>
      <c r="P30" s="16" t="s">
        <v>44</v>
      </c>
      <c r="Q30" s="16" t="s">
        <v>44</v>
      </c>
      <c r="R30" s="16" t="s">
        <v>43</v>
      </c>
      <c r="S30" s="16" t="s">
        <v>44</v>
      </c>
      <c r="T30" s="16" t="s">
        <v>43</v>
      </c>
      <c r="U30" s="16" t="s">
        <v>43</v>
      </c>
      <c r="V30" s="16" t="s">
        <v>44</v>
      </c>
      <c r="W30" s="16" t="s">
        <v>43</v>
      </c>
      <c r="X30" s="16" t="s">
        <v>44</v>
      </c>
      <c r="Y30" s="16" t="s">
        <v>43</v>
      </c>
      <c r="Z30" s="16" t="s">
        <v>44</v>
      </c>
      <c r="AA30" s="16" t="s">
        <v>43</v>
      </c>
      <c r="AB30" s="16" t="s">
        <v>44</v>
      </c>
      <c r="AC30" s="15"/>
      <c r="AD30" s="15"/>
      <c r="AE30" s="15"/>
      <c r="AF30" s="15"/>
      <c r="AG30" s="16" t="s">
        <v>43</v>
      </c>
      <c r="AH30" s="16" t="s">
        <v>44</v>
      </c>
      <c r="AI30" s="15"/>
      <c r="AJ30" s="15"/>
      <c r="AK30" s="15"/>
    </row>
    <row r="31" spans="1:39" s="2" customFormat="1" ht="25.5" x14ac:dyDescent="0.25">
      <c r="A31" s="17" t="s">
        <v>22</v>
      </c>
      <c r="B31" s="67" t="s">
        <v>23</v>
      </c>
      <c r="C31" s="68"/>
      <c r="D31" s="67" t="s">
        <v>46</v>
      </c>
      <c r="E31" s="68" t="s">
        <v>46</v>
      </c>
      <c r="F31" s="67" t="s">
        <v>47</v>
      </c>
      <c r="G31" s="68" t="s">
        <v>47</v>
      </c>
      <c r="H31" s="67" t="s">
        <v>48</v>
      </c>
      <c r="I31" s="68" t="s">
        <v>48</v>
      </c>
      <c r="J31" s="67" t="s">
        <v>49</v>
      </c>
      <c r="K31" s="68" t="s">
        <v>49</v>
      </c>
      <c r="L31" s="18" t="s">
        <v>58</v>
      </c>
      <c r="M31" s="67" t="s">
        <v>50</v>
      </c>
      <c r="N31" s="68" t="s">
        <v>50</v>
      </c>
      <c r="O31" s="67" t="s">
        <v>51</v>
      </c>
      <c r="P31" s="68" t="s">
        <v>51</v>
      </c>
      <c r="Q31" s="67" t="s">
        <v>52</v>
      </c>
      <c r="R31" s="68" t="s">
        <v>52</v>
      </c>
      <c r="S31" s="67" t="s">
        <v>53</v>
      </c>
      <c r="T31" s="68" t="s">
        <v>53</v>
      </c>
      <c r="U31" s="67" t="s">
        <v>54</v>
      </c>
      <c r="V31" s="68" t="s">
        <v>54</v>
      </c>
      <c r="W31" s="67" t="s">
        <v>55</v>
      </c>
      <c r="X31" s="68" t="s">
        <v>55</v>
      </c>
      <c r="Y31" s="67" t="s">
        <v>56</v>
      </c>
      <c r="Z31" s="68" t="s">
        <v>56</v>
      </c>
      <c r="AA31" s="67" t="s">
        <v>57</v>
      </c>
      <c r="AB31" s="68" t="s">
        <v>57</v>
      </c>
      <c r="AC31" s="17" t="s">
        <v>24</v>
      </c>
      <c r="AD31" s="17" t="s">
        <v>25</v>
      </c>
      <c r="AE31" s="17" t="s">
        <v>26</v>
      </c>
      <c r="AF31" s="17" t="s">
        <v>27</v>
      </c>
      <c r="AG31" s="67" t="s">
        <v>45</v>
      </c>
      <c r="AH31" s="68"/>
      <c r="AI31" s="17" t="s">
        <v>28</v>
      </c>
      <c r="AJ31" s="17" t="s">
        <v>29</v>
      </c>
      <c r="AK31" s="17" t="s">
        <v>30</v>
      </c>
      <c r="AL31" s="3" t="s">
        <v>31</v>
      </c>
      <c r="AM31" s="3" t="s">
        <v>32</v>
      </c>
    </row>
    <row r="32" spans="1:39" x14ac:dyDescent="0.25">
      <c r="A32" s="16" t="s">
        <v>33</v>
      </c>
      <c r="B32" s="16">
        <v>1.25</v>
      </c>
      <c r="C32" s="16">
        <v>0.9</v>
      </c>
      <c r="D32" s="16">
        <v>1.4</v>
      </c>
      <c r="E32" s="16">
        <v>0.25</v>
      </c>
      <c r="F32" s="16">
        <v>1.5</v>
      </c>
      <c r="G32" s="16">
        <v>0.65</v>
      </c>
      <c r="H32" s="16">
        <v>1.5</v>
      </c>
      <c r="I32" s="16">
        <v>0.9</v>
      </c>
      <c r="J32" s="16">
        <v>1.35</v>
      </c>
      <c r="K32" s="16">
        <v>1</v>
      </c>
      <c r="L32" s="16">
        <v>1</v>
      </c>
      <c r="M32" s="16">
        <v>1.5</v>
      </c>
      <c r="N32" s="16">
        <v>0.75</v>
      </c>
      <c r="O32" s="16">
        <v>1</v>
      </c>
      <c r="P32" s="16">
        <v>1</v>
      </c>
      <c r="Q32" s="16">
        <v>1.75</v>
      </c>
      <c r="R32" s="16">
        <v>1.75</v>
      </c>
      <c r="S32" s="16">
        <v>1.75</v>
      </c>
      <c r="T32" s="16">
        <v>1.75</v>
      </c>
      <c r="U32" s="16">
        <v>1.75</v>
      </c>
      <c r="V32" s="16">
        <v>1.75</v>
      </c>
      <c r="W32" s="16">
        <v>1.75</v>
      </c>
      <c r="X32" s="16">
        <v>1.75</v>
      </c>
      <c r="Y32" s="16">
        <v>1.75</v>
      </c>
      <c r="Z32" s="16">
        <v>1.75</v>
      </c>
      <c r="AA32" s="16">
        <v>1.75</v>
      </c>
      <c r="AB32" s="16">
        <v>1.75</v>
      </c>
      <c r="AC32" s="16">
        <v>1</v>
      </c>
      <c r="AD32" s="16"/>
      <c r="AE32" s="16"/>
      <c r="AF32" s="16">
        <v>1</v>
      </c>
      <c r="AG32" s="16">
        <v>0.5</v>
      </c>
      <c r="AH32" s="16"/>
      <c r="AI32" s="16">
        <v>0</v>
      </c>
      <c r="AJ32" s="16">
        <v>0</v>
      </c>
      <c r="AK32" s="16"/>
      <c r="AL32" s="4"/>
      <c r="AM32" s="4"/>
    </row>
    <row r="33" spans="1:39" hidden="1" x14ac:dyDescent="0.25">
      <c r="A33" s="16" t="s">
        <v>34</v>
      </c>
      <c r="B33" s="16">
        <v>1.25</v>
      </c>
      <c r="C33" s="16">
        <v>0.9</v>
      </c>
      <c r="D33" s="16">
        <v>1.4</v>
      </c>
      <c r="E33" s="16">
        <v>0.25</v>
      </c>
      <c r="F33" s="16">
        <v>1.5</v>
      </c>
      <c r="G33" s="16">
        <v>0.65</v>
      </c>
      <c r="H33" s="16">
        <v>1.5</v>
      </c>
      <c r="I33" s="16">
        <v>0.9</v>
      </c>
      <c r="J33" s="16">
        <v>1.35</v>
      </c>
      <c r="K33" s="16">
        <v>1</v>
      </c>
      <c r="L33" s="16">
        <v>1</v>
      </c>
      <c r="M33" s="16">
        <v>1.5</v>
      </c>
      <c r="N33" s="16">
        <v>0.75</v>
      </c>
      <c r="O33" s="16">
        <v>1</v>
      </c>
      <c r="P33" s="16">
        <v>1</v>
      </c>
      <c r="Q33" s="16">
        <v>1.35</v>
      </c>
      <c r="R33" s="16">
        <v>1.35</v>
      </c>
      <c r="S33" s="16">
        <v>1.35</v>
      </c>
      <c r="T33" s="16">
        <v>1.35</v>
      </c>
      <c r="U33" s="16">
        <v>1.35</v>
      </c>
      <c r="V33" s="16">
        <v>1.35</v>
      </c>
      <c r="W33" s="16">
        <v>1.35</v>
      </c>
      <c r="X33" s="16">
        <v>1.35</v>
      </c>
      <c r="Y33" s="16">
        <v>1.35</v>
      </c>
      <c r="Z33" s="16">
        <v>1.35</v>
      </c>
      <c r="AA33" s="16">
        <v>1.35</v>
      </c>
      <c r="AB33" s="16">
        <v>1.35</v>
      </c>
      <c r="AC33" s="16">
        <v>1</v>
      </c>
      <c r="AD33" s="16"/>
      <c r="AE33" s="16"/>
      <c r="AF33" s="16">
        <v>1</v>
      </c>
      <c r="AG33" s="16">
        <v>0.5</v>
      </c>
      <c r="AH33" s="16"/>
      <c r="AI33" s="16">
        <v>0</v>
      </c>
      <c r="AJ33" s="16">
        <v>0</v>
      </c>
      <c r="AK33" s="16"/>
      <c r="AL33" s="4"/>
      <c r="AM33" s="4"/>
    </row>
    <row r="34" spans="1:39" hidden="1" x14ac:dyDescent="0.25">
      <c r="A34" s="16" t="s">
        <v>35</v>
      </c>
      <c r="B34" s="16">
        <v>1.25</v>
      </c>
      <c r="C34" s="16">
        <v>0.9</v>
      </c>
      <c r="D34" s="16">
        <v>1.4</v>
      </c>
      <c r="E34" s="16">
        <v>0.25</v>
      </c>
      <c r="F34" s="16">
        <v>1.5</v>
      </c>
      <c r="G34" s="16">
        <v>0.65</v>
      </c>
      <c r="H34" s="16">
        <v>1.5</v>
      </c>
      <c r="I34" s="16">
        <v>0.9</v>
      </c>
      <c r="J34" s="16">
        <v>1.35</v>
      </c>
      <c r="K34" s="16">
        <v>1</v>
      </c>
      <c r="L34" s="16">
        <v>1</v>
      </c>
      <c r="M34" s="16">
        <v>1.5</v>
      </c>
      <c r="N34" s="16">
        <v>0.75</v>
      </c>
      <c r="O34" s="16">
        <v>1</v>
      </c>
      <c r="P34" s="16">
        <v>1</v>
      </c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>
        <v>1</v>
      </c>
      <c r="AD34" s="16">
        <v>1.4</v>
      </c>
      <c r="AE34" s="16"/>
      <c r="AF34" s="16">
        <v>1</v>
      </c>
      <c r="AG34" s="16">
        <v>0.5</v>
      </c>
      <c r="AH34" s="16"/>
      <c r="AI34" s="16">
        <v>0</v>
      </c>
      <c r="AJ34" s="16">
        <v>0</v>
      </c>
      <c r="AK34" s="16"/>
      <c r="AL34" s="4"/>
      <c r="AM34" s="4"/>
    </row>
    <row r="35" spans="1:39" x14ac:dyDescent="0.25">
      <c r="A35" s="16" t="s">
        <v>36</v>
      </c>
      <c r="B35" s="16">
        <v>1.5</v>
      </c>
      <c r="C35" s="16">
        <v>0.9</v>
      </c>
      <c r="D35" s="16">
        <v>1.4</v>
      </c>
      <c r="E35" s="16">
        <v>0.25</v>
      </c>
      <c r="F35" s="16">
        <v>1.5</v>
      </c>
      <c r="G35" s="16">
        <v>0.65</v>
      </c>
      <c r="H35" s="16">
        <v>1.5</v>
      </c>
      <c r="I35" s="16">
        <v>0.9</v>
      </c>
      <c r="J35" s="16">
        <v>1.35</v>
      </c>
      <c r="K35" s="16">
        <v>1</v>
      </c>
      <c r="L35" s="16">
        <v>1</v>
      </c>
      <c r="M35" s="16">
        <v>1.5</v>
      </c>
      <c r="N35" s="16">
        <v>0.75</v>
      </c>
      <c r="O35" s="16">
        <v>1</v>
      </c>
      <c r="P35" s="16">
        <v>1</v>
      </c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>
        <v>1</v>
      </c>
      <c r="AD35" s="16"/>
      <c r="AE35" s="16"/>
      <c r="AF35" s="16">
        <v>1</v>
      </c>
      <c r="AG35" s="16">
        <v>0.5</v>
      </c>
      <c r="AH35" s="16"/>
      <c r="AI35" s="16"/>
      <c r="AJ35" s="16"/>
      <c r="AK35" s="16"/>
      <c r="AL35" s="4"/>
      <c r="AM35" s="4"/>
    </row>
    <row r="36" spans="1:39" hidden="1" x14ac:dyDescent="0.25">
      <c r="A36" s="16" t="s">
        <v>37</v>
      </c>
      <c r="B36" s="16">
        <v>1.25</v>
      </c>
      <c r="C36" s="16">
        <v>0.9</v>
      </c>
      <c r="D36" s="16">
        <v>1.4</v>
      </c>
      <c r="E36" s="16">
        <v>0.25</v>
      </c>
      <c r="F36" s="16">
        <v>1.5</v>
      </c>
      <c r="G36" s="16">
        <v>0.65</v>
      </c>
      <c r="H36" s="16">
        <v>1.5</v>
      </c>
      <c r="I36" s="16">
        <v>0.9</v>
      </c>
      <c r="J36" s="16">
        <v>1.35</v>
      </c>
      <c r="K36" s="16">
        <v>1</v>
      </c>
      <c r="L36" s="16">
        <v>1</v>
      </c>
      <c r="M36" s="16">
        <v>1.5</v>
      </c>
      <c r="N36" s="16">
        <v>0.75</v>
      </c>
      <c r="O36" s="16">
        <v>1</v>
      </c>
      <c r="P36" s="16">
        <v>1</v>
      </c>
      <c r="Q36" s="16">
        <v>1.35</v>
      </c>
      <c r="R36" s="16">
        <v>1.35</v>
      </c>
      <c r="S36" s="16">
        <v>1.35</v>
      </c>
      <c r="T36" s="16">
        <v>1.35</v>
      </c>
      <c r="U36" s="16">
        <v>1.35</v>
      </c>
      <c r="V36" s="16">
        <v>1.35</v>
      </c>
      <c r="W36" s="16">
        <v>1.35</v>
      </c>
      <c r="X36" s="16">
        <v>1.35</v>
      </c>
      <c r="Y36" s="16">
        <v>1.35</v>
      </c>
      <c r="Z36" s="16">
        <v>1.35</v>
      </c>
      <c r="AA36" s="16">
        <v>1.35</v>
      </c>
      <c r="AB36" s="16">
        <v>1.35</v>
      </c>
      <c r="AC36" s="16">
        <v>1</v>
      </c>
      <c r="AD36" s="16">
        <v>0.4</v>
      </c>
      <c r="AE36" s="16">
        <v>1</v>
      </c>
      <c r="AF36" s="16">
        <v>1</v>
      </c>
      <c r="AG36" s="16">
        <v>0.5</v>
      </c>
      <c r="AH36" s="16"/>
      <c r="AI36" s="16">
        <v>0</v>
      </c>
      <c r="AJ36" s="16">
        <v>0</v>
      </c>
      <c r="AK36" s="16"/>
      <c r="AL36" s="4"/>
      <c r="AM36" s="4"/>
    </row>
    <row r="37" spans="1:39" x14ac:dyDescent="0.25">
      <c r="A37" s="16" t="s">
        <v>59</v>
      </c>
      <c r="B37" s="16">
        <v>1.25</v>
      </c>
      <c r="C37" s="16">
        <v>0.9</v>
      </c>
      <c r="D37" s="16">
        <v>1.4</v>
      </c>
      <c r="E37" s="16">
        <v>0.25</v>
      </c>
      <c r="F37" s="16">
        <v>1.5</v>
      </c>
      <c r="G37" s="16">
        <v>0.65</v>
      </c>
      <c r="H37" s="16">
        <v>1.5</v>
      </c>
      <c r="I37" s="16">
        <v>0.9</v>
      </c>
      <c r="J37" s="16">
        <v>1.35</v>
      </c>
      <c r="K37" s="16">
        <v>1</v>
      </c>
      <c r="L37" s="16">
        <v>1</v>
      </c>
      <c r="M37" s="16">
        <v>1.5</v>
      </c>
      <c r="N37" s="16">
        <v>0.75</v>
      </c>
      <c r="O37" s="16">
        <v>1</v>
      </c>
      <c r="P37" s="16">
        <v>1</v>
      </c>
      <c r="Q37" s="16">
        <v>1</v>
      </c>
      <c r="R37" s="16">
        <v>1</v>
      </c>
      <c r="S37" s="16">
        <v>1</v>
      </c>
      <c r="T37" s="16">
        <v>1</v>
      </c>
      <c r="U37" s="16">
        <v>1</v>
      </c>
      <c r="V37" s="16">
        <v>1</v>
      </c>
      <c r="W37" s="16">
        <v>1</v>
      </c>
      <c r="X37" s="16">
        <v>1</v>
      </c>
      <c r="Y37" s="16">
        <v>1</v>
      </c>
      <c r="Z37" s="16">
        <v>1</v>
      </c>
      <c r="AA37" s="16">
        <v>1</v>
      </c>
      <c r="AB37" s="16">
        <v>1</v>
      </c>
      <c r="AC37" s="16">
        <v>1</v>
      </c>
      <c r="AD37" s="16"/>
      <c r="AE37" s="16"/>
      <c r="AF37" s="16">
        <v>1</v>
      </c>
      <c r="AG37" s="16"/>
      <c r="AH37" s="16"/>
      <c r="AI37" s="16"/>
      <c r="AJ37" s="16"/>
      <c r="AK37" s="16">
        <v>1</v>
      </c>
      <c r="AL37" s="4"/>
      <c r="AM37" s="4"/>
    </row>
    <row r="38" spans="1:39" hidden="1" x14ac:dyDescent="0.25">
      <c r="A38" s="16" t="s">
        <v>60</v>
      </c>
      <c r="B38" s="16">
        <v>1.25</v>
      </c>
      <c r="C38" s="16">
        <v>0.9</v>
      </c>
      <c r="D38" s="16">
        <v>1.4</v>
      </c>
      <c r="E38" s="16">
        <v>0.25</v>
      </c>
      <c r="F38" s="16">
        <v>1.5</v>
      </c>
      <c r="G38" s="16">
        <v>0.65</v>
      </c>
      <c r="H38" s="16">
        <v>1.5</v>
      </c>
      <c r="I38" s="16">
        <v>0.9</v>
      </c>
      <c r="J38" s="16">
        <v>1.35</v>
      </c>
      <c r="K38" s="16">
        <v>1</v>
      </c>
      <c r="L38" s="16">
        <v>1</v>
      </c>
      <c r="M38" s="16">
        <v>1.5</v>
      </c>
      <c r="N38" s="16">
        <v>0.75</v>
      </c>
      <c r="O38" s="16">
        <v>1</v>
      </c>
      <c r="P38" s="16">
        <v>1</v>
      </c>
      <c r="Q38" s="16">
        <v>0.5</v>
      </c>
      <c r="R38" s="16">
        <v>0.5</v>
      </c>
      <c r="S38" s="16">
        <v>0.5</v>
      </c>
      <c r="T38" s="16">
        <v>0.5</v>
      </c>
      <c r="U38" s="16">
        <v>0.5</v>
      </c>
      <c r="V38" s="16">
        <v>0.5</v>
      </c>
      <c r="W38" s="16">
        <v>0.5</v>
      </c>
      <c r="X38" s="16">
        <v>0.5</v>
      </c>
      <c r="Y38" s="16">
        <v>0.5</v>
      </c>
      <c r="Z38" s="16">
        <v>0.5</v>
      </c>
      <c r="AA38" s="16">
        <v>0.5</v>
      </c>
      <c r="AB38" s="16">
        <v>0.5</v>
      </c>
      <c r="AC38" s="16">
        <v>1</v>
      </c>
      <c r="AD38" s="16"/>
      <c r="AE38" s="16"/>
      <c r="AF38" s="16">
        <v>1</v>
      </c>
      <c r="AG38" s="16"/>
      <c r="AH38" s="16"/>
      <c r="AI38" s="16"/>
      <c r="AJ38" s="16"/>
      <c r="AK38" s="16"/>
      <c r="AL38" s="4">
        <v>1</v>
      </c>
      <c r="AM38" s="4">
        <v>1</v>
      </c>
    </row>
    <row r="39" spans="1:39" hidden="1" x14ac:dyDescent="0.25">
      <c r="A39" s="16" t="s">
        <v>38</v>
      </c>
      <c r="B39" s="16">
        <v>1</v>
      </c>
      <c r="C39" s="16">
        <v>1</v>
      </c>
      <c r="D39" s="16">
        <v>1</v>
      </c>
      <c r="E39" s="16">
        <v>1</v>
      </c>
      <c r="F39" s="16">
        <v>1</v>
      </c>
      <c r="G39" s="16">
        <v>1</v>
      </c>
      <c r="H39" s="16">
        <v>1</v>
      </c>
      <c r="I39" s="16">
        <v>1</v>
      </c>
      <c r="J39" s="16">
        <v>1</v>
      </c>
      <c r="K39" s="16">
        <v>1</v>
      </c>
      <c r="L39" s="16">
        <v>1</v>
      </c>
      <c r="M39" s="16">
        <v>1</v>
      </c>
      <c r="N39" s="16">
        <v>1</v>
      </c>
      <c r="O39" s="16">
        <v>1</v>
      </c>
      <c r="P39" s="16">
        <v>1</v>
      </c>
      <c r="Q39" s="16">
        <v>1</v>
      </c>
      <c r="R39" s="16">
        <v>1</v>
      </c>
      <c r="S39" s="16">
        <v>1</v>
      </c>
      <c r="T39" s="16">
        <v>1</v>
      </c>
      <c r="U39" s="16">
        <v>1</v>
      </c>
      <c r="V39" s="16">
        <v>1</v>
      </c>
      <c r="W39" s="16">
        <v>1</v>
      </c>
      <c r="X39" s="16">
        <v>1</v>
      </c>
      <c r="Y39" s="16">
        <v>1</v>
      </c>
      <c r="Z39" s="16">
        <v>1</v>
      </c>
      <c r="AA39" s="16">
        <v>1</v>
      </c>
      <c r="AB39" s="16">
        <v>1</v>
      </c>
      <c r="AC39" s="16">
        <v>1</v>
      </c>
      <c r="AD39" s="16">
        <v>0.3</v>
      </c>
      <c r="AE39" s="16">
        <v>1</v>
      </c>
      <c r="AF39" s="16">
        <v>1</v>
      </c>
      <c r="AG39" s="16">
        <v>1</v>
      </c>
      <c r="AH39" s="16">
        <v>1.2</v>
      </c>
      <c r="AI39" s="16">
        <v>1</v>
      </c>
      <c r="AJ39" s="16">
        <v>1</v>
      </c>
      <c r="AK39" s="16"/>
      <c r="AL39" s="4"/>
      <c r="AM39" s="4"/>
    </row>
    <row r="40" spans="1:39" hidden="1" x14ac:dyDescent="0.25">
      <c r="A40" s="16" t="s">
        <v>39</v>
      </c>
      <c r="B40" s="16">
        <v>1</v>
      </c>
      <c r="C40" s="16">
        <v>1</v>
      </c>
      <c r="D40" s="16">
        <v>1</v>
      </c>
      <c r="E40" s="16">
        <v>1</v>
      </c>
      <c r="F40" s="16">
        <v>1</v>
      </c>
      <c r="G40" s="16">
        <v>1</v>
      </c>
      <c r="H40" s="16">
        <v>1</v>
      </c>
      <c r="I40" s="16">
        <v>1</v>
      </c>
      <c r="J40" s="16">
        <v>1</v>
      </c>
      <c r="K40" s="16">
        <v>1</v>
      </c>
      <c r="L40" s="16">
        <v>1</v>
      </c>
      <c r="M40" s="16">
        <v>1</v>
      </c>
      <c r="N40" s="16">
        <v>1</v>
      </c>
      <c r="O40" s="16">
        <v>1</v>
      </c>
      <c r="P40" s="16">
        <v>1</v>
      </c>
      <c r="Q40" s="16">
        <v>1.3</v>
      </c>
      <c r="R40" s="16">
        <v>1.3</v>
      </c>
      <c r="S40" s="16">
        <v>1.3</v>
      </c>
      <c r="T40" s="16">
        <v>1.3</v>
      </c>
      <c r="U40" s="16">
        <v>1.3</v>
      </c>
      <c r="V40" s="16">
        <v>1.3</v>
      </c>
      <c r="W40" s="16">
        <v>1.3</v>
      </c>
      <c r="X40" s="16">
        <v>1.3</v>
      </c>
      <c r="Y40" s="16">
        <v>1.3</v>
      </c>
      <c r="Z40" s="16">
        <v>1.3</v>
      </c>
      <c r="AA40" s="16">
        <v>1.3</v>
      </c>
      <c r="AB40" s="16">
        <v>1.3</v>
      </c>
      <c r="AC40" s="16">
        <v>1</v>
      </c>
      <c r="AD40" s="16"/>
      <c r="AE40" s="16"/>
      <c r="AF40" s="16">
        <v>1</v>
      </c>
      <c r="AG40" s="16">
        <v>1</v>
      </c>
      <c r="AH40" s="16">
        <v>1.2</v>
      </c>
      <c r="AI40" s="16"/>
      <c r="AJ40" s="16"/>
      <c r="AK40" s="16"/>
      <c r="AL40" s="4"/>
      <c r="AM40" s="4"/>
    </row>
    <row r="41" spans="1:39" hidden="1" x14ac:dyDescent="0.25">
      <c r="A41" s="16" t="s">
        <v>40</v>
      </c>
      <c r="B41" s="16">
        <v>1</v>
      </c>
      <c r="C41" s="16">
        <v>1</v>
      </c>
      <c r="D41" s="16">
        <v>1</v>
      </c>
      <c r="E41" s="16">
        <v>1</v>
      </c>
      <c r="F41" s="16">
        <v>1</v>
      </c>
      <c r="G41" s="16">
        <v>1</v>
      </c>
      <c r="H41" s="16">
        <v>1</v>
      </c>
      <c r="I41" s="16">
        <v>1</v>
      </c>
      <c r="J41" s="16">
        <v>1</v>
      </c>
      <c r="K41" s="16">
        <v>1</v>
      </c>
      <c r="L41" s="16">
        <v>1</v>
      </c>
      <c r="M41" s="16">
        <v>1</v>
      </c>
      <c r="N41" s="16">
        <v>1</v>
      </c>
      <c r="O41" s="16">
        <v>1</v>
      </c>
      <c r="P41" s="16">
        <v>1</v>
      </c>
      <c r="Q41" s="16">
        <v>0.8</v>
      </c>
      <c r="R41" s="16">
        <v>0.8</v>
      </c>
      <c r="S41" s="16">
        <v>0.8</v>
      </c>
      <c r="T41" s="16">
        <v>0.8</v>
      </c>
      <c r="U41" s="16">
        <v>0.8</v>
      </c>
      <c r="V41" s="16">
        <v>0.8</v>
      </c>
      <c r="W41" s="16">
        <v>0.8</v>
      </c>
      <c r="X41" s="16">
        <v>0.8</v>
      </c>
      <c r="Y41" s="16">
        <v>0.8</v>
      </c>
      <c r="Z41" s="16">
        <v>0.8</v>
      </c>
      <c r="AA41" s="16">
        <v>0.8</v>
      </c>
      <c r="AB41" s="16">
        <v>0.8</v>
      </c>
      <c r="AC41" s="16">
        <v>1</v>
      </c>
      <c r="AD41" s="16"/>
      <c r="AE41" s="16"/>
      <c r="AF41" s="16">
        <v>1</v>
      </c>
      <c r="AG41" s="16">
        <v>1</v>
      </c>
      <c r="AH41" s="16">
        <v>1.2</v>
      </c>
      <c r="AI41" s="16">
        <v>1</v>
      </c>
      <c r="AJ41" s="16">
        <v>1</v>
      </c>
      <c r="AK41" s="16"/>
      <c r="AL41" s="4"/>
      <c r="AM41" s="4"/>
    </row>
    <row r="42" spans="1:39" hidden="1" x14ac:dyDescent="0.25">
      <c r="A42" s="16" t="s">
        <v>41</v>
      </c>
      <c r="B42" s="16">
        <v>1</v>
      </c>
      <c r="C42" s="16">
        <v>1</v>
      </c>
      <c r="D42" s="16">
        <v>1</v>
      </c>
      <c r="E42" s="16">
        <v>1</v>
      </c>
      <c r="F42" s="16">
        <v>1</v>
      </c>
      <c r="G42" s="16">
        <v>1</v>
      </c>
      <c r="H42" s="16">
        <v>1</v>
      </c>
      <c r="I42" s="16">
        <v>1</v>
      </c>
      <c r="J42" s="16">
        <v>1</v>
      </c>
      <c r="K42" s="16">
        <v>1</v>
      </c>
      <c r="L42" s="16">
        <v>1</v>
      </c>
      <c r="M42" s="16">
        <v>1</v>
      </c>
      <c r="N42" s="16">
        <v>1</v>
      </c>
      <c r="O42" s="16">
        <v>1</v>
      </c>
      <c r="P42" s="16">
        <v>1</v>
      </c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>
        <v>1</v>
      </c>
      <c r="AD42" s="16">
        <v>0.7</v>
      </c>
      <c r="AE42" s="16"/>
      <c r="AF42" s="16">
        <v>1</v>
      </c>
      <c r="AG42" s="16">
        <v>1</v>
      </c>
      <c r="AH42" s="16">
        <v>1.2</v>
      </c>
      <c r="AI42" s="16"/>
      <c r="AJ42" s="16">
        <v>1</v>
      </c>
      <c r="AK42" s="16"/>
      <c r="AL42" s="4"/>
      <c r="AM42" s="4"/>
    </row>
    <row r="43" spans="1:39" hidden="1" x14ac:dyDescent="0.25">
      <c r="A43" s="16" t="s">
        <v>42</v>
      </c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>
        <v>0.75</v>
      </c>
      <c r="R43" s="16">
        <v>0.75</v>
      </c>
      <c r="S43" s="16">
        <v>0.75</v>
      </c>
      <c r="T43" s="16">
        <v>0.75</v>
      </c>
      <c r="U43" s="16">
        <v>0.75</v>
      </c>
      <c r="V43" s="16">
        <v>0.75</v>
      </c>
      <c r="W43" s="16">
        <v>0.75</v>
      </c>
      <c r="X43" s="16">
        <v>0.75</v>
      </c>
      <c r="Y43" s="16">
        <v>0.75</v>
      </c>
      <c r="Z43" s="16">
        <v>0.75</v>
      </c>
      <c r="AA43" s="16">
        <v>0.75</v>
      </c>
      <c r="AB43" s="16">
        <v>0.75</v>
      </c>
      <c r="AC43" s="16">
        <v>1</v>
      </c>
      <c r="AD43" s="16"/>
      <c r="AE43" s="16"/>
      <c r="AF43" s="16"/>
      <c r="AG43" s="16"/>
      <c r="AH43" s="16"/>
      <c r="AI43" s="16"/>
      <c r="AJ43" s="16"/>
      <c r="AK43" s="16"/>
      <c r="AL43" s="4"/>
      <c r="AM43" s="4"/>
    </row>
    <row r="44" spans="1:39" x14ac:dyDescent="0.25">
      <c r="A44" s="14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</row>
    <row r="45" spans="1:39" x14ac:dyDescent="0.25">
      <c r="A45" s="14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</row>
    <row r="46" spans="1:39" s="11" customFormat="1" ht="28.5" customHeight="1" x14ac:dyDescent="0.25">
      <c r="A46" s="65" t="s">
        <v>120</v>
      </c>
      <c r="B46" s="65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</row>
    <row r="47" spans="1:39" x14ac:dyDescent="0.25">
      <c r="A47" s="20" t="s">
        <v>65</v>
      </c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</row>
    <row r="48" spans="1:39" x14ac:dyDescent="0.25">
      <c r="A48" s="20" t="s">
        <v>66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</row>
    <row r="49" spans="1:41" x14ac:dyDescent="0.25">
      <c r="A49" s="20" t="s">
        <v>67</v>
      </c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</row>
    <row r="50" spans="1:41" x14ac:dyDescent="0.25">
      <c r="A50" s="20" t="s">
        <v>68</v>
      </c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</row>
    <row r="51" spans="1:41" x14ac:dyDescent="0.25">
      <c r="A51" s="20" t="s">
        <v>69</v>
      </c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</row>
    <row r="52" spans="1:41" x14ac:dyDescent="0.25">
      <c r="A52" s="20" t="s">
        <v>70</v>
      </c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</row>
    <row r="53" spans="1:41" ht="32.1" customHeight="1" x14ac:dyDescent="0.25">
      <c r="A53" s="65" t="s">
        <v>142</v>
      </c>
      <c r="B53" s="65"/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</row>
    <row r="54" spans="1:41" s="11" customFormat="1" ht="18" customHeight="1" x14ac:dyDescent="0.25">
      <c r="A54" s="65" t="s">
        <v>121</v>
      </c>
      <c r="B54" s="65"/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</row>
    <row r="55" spans="1:41" x14ac:dyDescent="0.25">
      <c r="A55" s="20" t="s">
        <v>71</v>
      </c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</row>
    <row r="56" spans="1:41" x14ac:dyDescent="0.25">
      <c r="A56" s="20" t="s">
        <v>72</v>
      </c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</row>
    <row r="57" spans="1:41" s="11" customFormat="1" ht="45" customHeight="1" x14ac:dyDescent="0.25">
      <c r="A57" s="65" t="s">
        <v>122</v>
      </c>
      <c r="B57" s="65"/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65"/>
      <c r="AK57" s="65"/>
      <c r="AO57" s="11" t="s">
        <v>166</v>
      </c>
    </row>
    <row r="61" spans="1:41" x14ac:dyDescent="0.25">
      <c r="L61" s="1" t="s">
        <v>73</v>
      </c>
    </row>
  </sheetData>
  <mergeCells count="19">
    <mergeCell ref="AG31:AH31"/>
    <mergeCell ref="A54:AK54"/>
    <mergeCell ref="A46:AK46"/>
    <mergeCell ref="A57:AK57"/>
    <mergeCell ref="A53:AK53"/>
    <mergeCell ref="A6:AK6"/>
    <mergeCell ref="M31:N31"/>
    <mergeCell ref="O31:P31"/>
    <mergeCell ref="Q31:R31"/>
    <mergeCell ref="S31:T31"/>
    <mergeCell ref="B31:C31"/>
    <mergeCell ref="D31:E31"/>
    <mergeCell ref="F31:G31"/>
    <mergeCell ref="H31:I31"/>
    <mergeCell ref="J31:K31"/>
    <mergeCell ref="U31:V31"/>
    <mergeCell ref="W31:X31"/>
    <mergeCell ref="Y31:Z31"/>
    <mergeCell ref="AA31:AB31"/>
  </mergeCells>
  <pageMargins left="0.7" right="0.7" top="0.75" bottom="0.75" header="0.3" footer="0.3"/>
  <pageSetup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H14"/>
  <sheetViews>
    <sheetView workbookViewId="0">
      <selection activeCell="G25" sqref="G25"/>
    </sheetView>
  </sheetViews>
  <sheetFormatPr defaultColWidth="11.42578125" defaultRowHeight="15" x14ac:dyDescent="0.25"/>
  <sheetData>
    <row r="1" spans="1:8" ht="47.25" x14ac:dyDescent="0.25">
      <c r="A1" s="5" t="s">
        <v>74</v>
      </c>
      <c r="B1" s="8" t="s">
        <v>76</v>
      </c>
      <c r="C1" s="5" t="s">
        <v>78</v>
      </c>
      <c r="D1" s="5" t="s">
        <v>80</v>
      </c>
      <c r="E1" s="5" t="s">
        <v>82</v>
      </c>
      <c r="F1" s="8" t="s">
        <v>82</v>
      </c>
      <c r="G1" s="5" t="s">
        <v>85</v>
      </c>
      <c r="H1" s="8" t="s">
        <v>85</v>
      </c>
    </row>
    <row r="2" spans="1:8" ht="32.25" thickBot="1" x14ac:dyDescent="0.3">
      <c r="A2" s="6" t="s">
        <v>75</v>
      </c>
      <c r="B2" s="9" t="s">
        <v>77</v>
      </c>
      <c r="C2" s="6" t="s">
        <v>79</v>
      </c>
      <c r="D2" s="6" t="s">
        <v>81</v>
      </c>
      <c r="E2" s="6" t="s">
        <v>83</v>
      </c>
      <c r="F2" s="9" t="s">
        <v>84</v>
      </c>
      <c r="G2" s="6" t="s">
        <v>86</v>
      </c>
      <c r="H2" s="9" t="s">
        <v>87</v>
      </c>
    </row>
    <row r="3" spans="1:8" ht="15.75" thickBot="1" x14ac:dyDescent="0.3">
      <c r="A3" s="7" t="s">
        <v>88</v>
      </c>
      <c r="B3" s="10" t="s">
        <v>89</v>
      </c>
      <c r="C3" s="7">
        <v>0.376</v>
      </c>
      <c r="D3" s="7">
        <v>0.56100000000000005</v>
      </c>
      <c r="E3" s="7" t="s">
        <v>90</v>
      </c>
      <c r="F3" s="10">
        <v>9.5250000000000004</v>
      </c>
      <c r="G3" s="7">
        <v>0.11</v>
      </c>
      <c r="H3" s="10">
        <v>71</v>
      </c>
    </row>
    <row r="4" spans="1:8" ht="15.75" thickBot="1" x14ac:dyDescent="0.3">
      <c r="A4" s="7" t="s">
        <v>91</v>
      </c>
      <c r="B4" s="10" t="s">
        <v>92</v>
      </c>
      <c r="C4" s="7">
        <v>0.66800000000000004</v>
      </c>
      <c r="D4" s="7">
        <v>0.996</v>
      </c>
      <c r="E4" s="7" t="s">
        <v>93</v>
      </c>
      <c r="F4" s="10">
        <v>12.7</v>
      </c>
      <c r="G4" s="7">
        <v>0.2</v>
      </c>
      <c r="H4" s="10">
        <v>129</v>
      </c>
    </row>
    <row r="5" spans="1:8" ht="15.75" thickBot="1" x14ac:dyDescent="0.3">
      <c r="A5" s="7" t="s">
        <v>94</v>
      </c>
      <c r="B5" s="10" t="s">
        <v>95</v>
      </c>
      <c r="C5" s="7">
        <v>1.0429999999999999</v>
      </c>
      <c r="D5" s="7">
        <v>1.556</v>
      </c>
      <c r="E5" s="7" t="s">
        <v>96</v>
      </c>
      <c r="F5" s="10">
        <v>15.875</v>
      </c>
      <c r="G5" s="7">
        <v>0.31</v>
      </c>
      <c r="H5" s="10">
        <v>200</v>
      </c>
    </row>
    <row r="6" spans="1:8" ht="15.75" thickBot="1" x14ac:dyDescent="0.3">
      <c r="A6" s="7" t="s">
        <v>97</v>
      </c>
      <c r="B6" s="10" t="s">
        <v>98</v>
      </c>
      <c r="C6" s="7">
        <v>1.502</v>
      </c>
      <c r="D6" s="7">
        <v>2.2400000000000002</v>
      </c>
      <c r="E6" s="7" t="s">
        <v>99</v>
      </c>
      <c r="F6" s="10">
        <v>19.05</v>
      </c>
      <c r="G6" s="7">
        <v>0.44</v>
      </c>
      <c r="H6" s="10">
        <v>284</v>
      </c>
    </row>
    <row r="7" spans="1:8" ht="15.75" thickBot="1" x14ac:dyDescent="0.3">
      <c r="A7" s="7" t="s">
        <v>100</v>
      </c>
      <c r="B7" s="10" t="s">
        <v>101</v>
      </c>
      <c r="C7" s="7">
        <v>2.044</v>
      </c>
      <c r="D7" s="7">
        <v>3.0489999999999999</v>
      </c>
      <c r="E7" s="7" t="s">
        <v>102</v>
      </c>
      <c r="F7" s="10">
        <v>22.225000000000001</v>
      </c>
      <c r="G7" s="7">
        <v>0.6</v>
      </c>
      <c r="H7" s="10">
        <v>387</v>
      </c>
    </row>
    <row r="8" spans="1:8" ht="30.75" thickBot="1" x14ac:dyDescent="0.3">
      <c r="A8" s="7" t="s">
        <v>103</v>
      </c>
      <c r="B8" s="10" t="s">
        <v>104</v>
      </c>
      <c r="C8" s="7">
        <v>2.67</v>
      </c>
      <c r="D8" s="7">
        <v>3.9820000000000002</v>
      </c>
      <c r="E8" s="7" t="s">
        <v>105</v>
      </c>
      <c r="F8" s="10">
        <v>25.4</v>
      </c>
      <c r="G8" s="7">
        <v>0.79</v>
      </c>
      <c r="H8" s="10">
        <v>509</v>
      </c>
    </row>
    <row r="9" spans="1:8" ht="15.75" thickBot="1" x14ac:dyDescent="0.3">
      <c r="A9" s="7" t="s">
        <v>106</v>
      </c>
      <c r="B9" s="10" t="s">
        <v>107</v>
      </c>
      <c r="C9" s="7">
        <v>3.4</v>
      </c>
      <c r="D9" s="7">
        <v>5.0709999999999997</v>
      </c>
      <c r="E9" s="7">
        <v>1.1279999999999999</v>
      </c>
      <c r="F9" s="10">
        <v>28.65</v>
      </c>
      <c r="G9" s="7">
        <v>1</v>
      </c>
      <c r="H9" s="10">
        <v>645</v>
      </c>
    </row>
    <row r="10" spans="1:8" ht="15.75" thickBot="1" x14ac:dyDescent="0.3">
      <c r="A10" s="7" t="s">
        <v>89</v>
      </c>
      <c r="B10" s="10" t="s">
        <v>108</v>
      </c>
      <c r="C10" s="7">
        <v>4.3029999999999999</v>
      </c>
      <c r="D10" s="7">
        <v>6.4180000000000001</v>
      </c>
      <c r="E10" s="7">
        <v>1.27</v>
      </c>
      <c r="F10" s="10">
        <v>32.26</v>
      </c>
      <c r="G10" s="7">
        <v>1.27</v>
      </c>
      <c r="H10" s="10">
        <v>819</v>
      </c>
    </row>
    <row r="11" spans="1:8" ht="15.75" thickBot="1" x14ac:dyDescent="0.3">
      <c r="A11" s="7" t="s">
        <v>109</v>
      </c>
      <c r="B11" s="10" t="s">
        <v>110</v>
      </c>
      <c r="C11" s="7">
        <v>5.3129999999999997</v>
      </c>
      <c r="D11" s="7">
        <v>7.9240000000000004</v>
      </c>
      <c r="E11" s="7">
        <v>1.41</v>
      </c>
      <c r="F11" s="10">
        <v>35.81</v>
      </c>
      <c r="G11" s="7">
        <v>1.56</v>
      </c>
      <c r="H11" s="10">
        <v>1006</v>
      </c>
    </row>
    <row r="12" spans="1:8" ht="15.75" thickBot="1" x14ac:dyDescent="0.3">
      <c r="A12" s="7" t="s">
        <v>111</v>
      </c>
      <c r="B12" s="10" t="s">
        <v>112</v>
      </c>
      <c r="C12" s="7">
        <v>6.4240000000000004</v>
      </c>
      <c r="D12" s="7">
        <v>9.6189999999999998</v>
      </c>
      <c r="E12" s="7">
        <v>1.5</v>
      </c>
      <c r="F12" s="10">
        <v>38.1</v>
      </c>
      <c r="G12" s="7">
        <v>1.76</v>
      </c>
      <c r="H12" s="10">
        <v>1140</v>
      </c>
    </row>
    <row r="13" spans="1:8" ht="15.75" thickBot="1" x14ac:dyDescent="0.3">
      <c r="A13" s="7" t="s">
        <v>113</v>
      </c>
      <c r="B13" s="10" t="s">
        <v>114</v>
      </c>
      <c r="C13" s="7">
        <v>7.65</v>
      </c>
      <c r="D13" s="7">
        <v>11.41</v>
      </c>
      <c r="E13" s="7">
        <v>1.6930000000000001</v>
      </c>
      <c r="F13" s="10">
        <v>43</v>
      </c>
      <c r="G13" s="7">
        <v>2.25</v>
      </c>
      <c r="H13" s="10">
        <v>1452</v>
      </c>
    </row>
    <row r="14" spans="1:8" ht="15.75" thickBot="1" x14ac:dyDescent="0.3">
      <c r="A14" s="7" t="s">
        <v>115</v>
      </c>
      <c r="B14" s="10" t="s">
        <v>116</v>
      </c>
      <c r="C14" s="7">
        <v>13.6</v>
      </c>
      <c r="D14" s="7">
        <v>20.283999999999999</v>
      </c>
      <c r="E14" s="7">
        <v>2.2570000000000001</v>
      </c>
      <c r="F14" s="10">
        <v>57.33</v>
      </c>
      <c r="G14" s="7">
        <v>4</v>
      </c>
      <c r="H14" s="10">
        <v>2581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2:H12"/>
  <sheetViews>
    <sheetView showGridLines="0" workbookViewId="0">
      <selection activeCell="G9" sqref="G9"/>
    </sheetView>
  </sheetViews>
  <sheetFormatPr defaultColWidth="11.42578125" defaultRowHeight="15" x14ac:dyDescent="0.25"/>
  <cols>
    <col min="2" max="2" width="13.7109375" customWidth="1"/>
    <col min="6" max="6" width="20.42578125" bestFit="1" customWidth="1"/>
    <col min="10" max="10" width="21.85546875" customWidth="1"/>
  </cols>
  <sheetData>
    <row r="2" spans="2:8" ht="15.75" thickBot="1" x14ac:dyDescent="0.3"/>
    <row r="3" spans="2:8" ht="23.25" customHeight="1" thickBot="1" x14ac:dyDescent="0.3">
      <c r="B3" s="69" t="s">
        <v>123</v>
      </c>
      <c r="C3" s="70"/>
      <c r="D3" s="71"/>
      <c r="F3" s="75" t="s">
        <v>136</v>
      </c>
      <c r="G3" s="76"/>
      <c r="H3" s="77"/>
    </row>
    <row r="4" spans="2:8" x14ac:dyDescent="0.25">
      <c r="B4" s="34" t="s">
        <v>124</v>
      </c>
      <c r="C4" s="72" t="s">
        <v>127</v>
      </c>
      <c r="D4" s="73"/>
      <c r="F4" s="35" t="s">
        <v>132</v>
      </c>
      <c r="G4" s="78" t="s">
        <v>137</v>
      </c>
      <c r="H4" s="79"/>
    </row>
    <row r="5" spans="2:8" x14ac:dyDescent="0.25">
      <c r="B5" s="27" t="s">
        <v>128</v>
      </c>
      <c r="C5" s="24" t="s">
        <v>129</v>
      </c>
      <c r="D5" s="26">
        <v>1</v>
      </c>
      <c r="F5" s="36" t="s">
        <v>134</v>
      </c>
      <c r="G5" s="80" t="s">
        <v>138</v>
      </c>
      <c r="H5" s="81"/>
    </row>
    <row r="6" spans="2:8" ht="15.75" thickBot="1" x14ac:dyDescent="0.3">
      <c r="B6" s="27" t="s">
        <v>125</v>
      </c>
      <c r="C6" s="24" t="s">
        <v>130</v>
      </c>
      <c r="D6" s="26">
        <v>1</v>
      </c>
      <c r="F6" s="37" t="s">
        <v>135</v>
      </c>
      <c r="G6" s="82" t="s">
        <v>139</v>
      </c>
      <c r="H6" s="83"/>
    </row>
    <row r="7" spans="2:8" ht="30" x14ac:dyDescent="0.25">
      <c r="B7" s="28" t="s">
        <v>126</v>
      </c>
      <c r="C7" s="24" t="s">
        <v>131</v>
      </c>
      <c r="D7" s="29">
        <v>0.9</v>
      </c>
      <c r="F7" s="38"/>
      <c r="G7" s="74"/>
      <c r="H7" s="74"/>
    </row>
    <row r="8" spans="2:8" ht="30" x14ac:dyDescent="0.25">
      <c r="B8" s="28" t="s">
        <v>156</v>
      </c>
      <c r="C8" s="24" t="s">
        <v>157</v>
      </c>
      <c r="D8" s="29">
        <v>0.8</v>
      </c>
    </row>
    <row r="9" spans="2:8" ht="30" x14ac:dyDescent="0.25">
      <c r="B9" s="28" t="s">
        <v>158</v>
      </c>
      <c r="C9" s="24" t="s">
        <v>162</v>
      </c>
      <c r="D9" s="29">
        <v>0.95</v>
      </c>
    </row>
    <row r="10" spans="2:8" ht="45" x14ac:dyDescent="0.25">
      <c r="B10" s="28" t="s">
        <v>159</v>
      </c>
      <c r="C10" s="24" t="s">
        <v>163</v>
      </c>
      <c r="D10" s="29">
        <v>0.8</v>
      </c>
    </row>
    <row r="11" spans="2:8" ht="30" x14ac:dyDescent="0.25">
      <c r="B11" s="30" t="s">
        <v>160</v>
      </c>
      <c r="C11" s="24" t="s">
        <v>164</v>
      </c>
      <c r="D11" s="29">
        <v>0.8</v>
      </c>
    </row>
    <row r="12" spans="2:8" ht="30.75" thickBot="1" x14ac:dyDescent="0.3">
      <c r="B12" s="31" t="s">
        <v>161</v>
      </c>
      <c r="C12" s="32" t="s">
        <v>165</v>
      </c>
      <c r="D12" s="33">
        <v>0.8</v>
      </c>
    </row>
  </sheetData>
  <mergeCells count="7">
    <mergeCell ref="B3:D3"/>
    <mergeCell ref="C4:D4"/>
    <mergeCell ref="G7:H7"/>
    <mergeCell ref="F3:H3"/>
    <mergeCell ref="G4:H4"/>
    <mergeCell ref="G5:H5"/>
    <mergeCell ref="G6:H6"/>
  </mergeCells>
  <pageMargins left="0.7" right="0.7" top="0.75" bottom="0.75" header="0.3" footer="0.3"/>
  <pageSetup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B1:K75"/>
  <sheetViews>
    <sheetView showGridLines="0" zoomScale="90" zoomScaleNormal="90" workbookViewId="0">
      <selection activeCell="D4" sqref="D4"/>
    </sheetView>
  </sheetViews>
  <sheetFormatPr defaultColWidth="11.42578125" defaultRowHeight="15" x14ac:dyDescent="0.25"/>
  <cols>
    <col min="1" max="2" width="17.7109375" style="48" customWidth="1"/>
    <col min="3" max="3" width="17.7109375" style="49" customWidth="1"/>
    <col min="4" max="4" width="20" style="58" customWidth="1"/>
    <col min="5" max="5" width="17.7109375" style="58" customWidth="1"/>
    <col min="6" max="6" width="13.28515625" style="49" customWidth="1"/>
    <col min="7" max="7" width="20.5703125" style="49" customWidth="1"/>
    <col min="8" max="8" width="24.5703125" style="50" customWidth="1"/>
    <col min="9" max="9" width="16.85546875" style="48" customWidth="1"/>
    <col min="10" max="16384" width="11.42578125" style="48"/>
  </cols>
  <sheetData>
    <row r="1" spans="2:11" s="46" customFormat="1" ht="23.25" x14ac:dyDescent="0.35">
      <c r="B1" s="52" t="s">
        <v>174</v>
      </c>
      <c r="C1" s="47"/>
      <c r="D1" s="57"/>
      <c r="E1" s="57"/>
      <c r="F1" s="47"/>
      <c r="G1" s="47"/>
    </row>
    <row r="3" spans="2:11" x14ac:dyDescent="0.25">
      <c r="C3" s="49" t="s">
        <v>144</v>
      </c>
      <c r="D3" s="58">
        <v>11</v>
      </c>
      <c r="E3" s="25" t="s">
        <v>140</v>
      </c>
    </row>
    <row r="4" spans="2:11" x14ac:dyDescent="0.25">
      <c r="C4" s="49" t="s">
        <v>145</v>
      </c>
      <c r="D4" s="58">
        <v>3.63</v>
      </c>
      <c r="E4" s="25" t="s">
        <v>167</v>
      </c>
    </row>
    <row r="5" spans="2:11" x14ac:dyDescent="0.25">
      <c r="C5" s="49" t="s">
        <v>146</v>
      </c>
      <c r="D5" s="58">
        <v>14.52</v>
      </c>
      <c r="E5" s="25" t="s">
        <v>167</v>
      </c>
    </row>
    <row r="6" spans="2:11" x14ac:dyDescent="0.25">
      <c r="C6" s="49" t="s">
        <v>147</v>
      </c>
      <c r="D6" s="58">
        <v>0.95199999999999996</v>
      </c>
      <c r="E6" s="25" t="s">
        <v>168</v>
      </c>
    </row>
    <row r="7" spans="2:11" x14ac:dyDescent="0.25">
      <c r="C7" s="49" t="s">
        <v>179</v>
      </c>
      <c r="D7" s="58">
        <v>11.34</v>
      </c>
      <c r="E7" s="25" t="s">
        <v>167</v>
      </c>
    </row>
    <row r="9" spans="2:11" x14ac:dyDescent="0.25">
      <c r="B9" s="55" t="s">
        <v>177</v>
      </c>
    </row>
    <row r="10" spans="2:11" x14ac:dyDescent="0.25">
      <c r="B10" s="51" t="s">
        <v>148</v>
      </c>
      <c r="C10" s="45" t="s">
        <v>149</v>
      </c>
      <c r="D10" s="53" t="s">
        <v>181</v>
      </c>
      <c r="E10" s="53" t="s">
        <v>180</v>
      </c>
      <c r="F10" s="53" t="s">
        <v>141</v>
      </c>
      <c r="G10" s="45" t="s">
        <v>150</v>
      </c>
      <c r="H10" s="51" t="s">
        <v>151</v>
      </c>
      <c r="I10" s="44" t="s">
        <v>176</v>
      </c>
    </row>
    <row r="11" spans="2:11" hidden="1" x14ac:dyDescent="0.25">
      <c r="B11" s="51">
        <v>0</v>
      </c>
      <c r="C11" s="45">
        <f>$D$3/MAX(B11:$B$71)*B11</f>
        <v>0</v>
      </c>
      <c r="D11" s="53">
        <f>Camion($D$3,$D$4,$C11)</f>
        <v>0</v>
      </c>
      <c r="E11" s="53">
        <f>tandem($D$3,$D$7,$C11)</f>
        <v>0</v>
      </c>
      <c r="F11" s="53">
        <f t="shared" ref="F11:F42" si="0">$D$6*C11/2*($D$3-C11)</f>
        <v>0</v>
      </c>
      <c r="G11" s="45">
        <f>MAX(D11,E11)*1.33+F11</f>
        <v>0</v>
      </c>
      <c r="H11" s="44">
        <f>CamionFat($D$3,$D$4,$C11)</f>
        <v>0</v>
      </c>
      <c r="I11" s="44">
        <f>H11*1.15</f>
        <v>0</v>
      </c>
    </row>
    <row r="12" spans="2:11" hidden="1" x14ac:dyDescent="0.25">
      <c r="B12" s="51">
        <v>1</v>
      </c>
      <c r="C12" s="45">
        <f>$D$3/MAX(B12:$B$71)*B12</f>
        <v>0.18333333333333332</v>
      </c>
      <c r="D12" s="53">
        <f t="shared" ref="D12:D71" si="1">Camion($D$3,$D$4,$C12)</f>
        <v>4.1865997822000001</v>
      </c>
      <c r="E12" s="53">
        <f t="shared" ref="E12:E71" si="2">tandem($D$3,$D$7,$C12)</f>
        <v>3.85559994708</v>
      </c>
      <c r="F12" s="53">
        <f t="shared" si="0"/>
        <v>0.9439344444444443</v>
      </c>
      <c r="G12" s="45">
        <f t="shared" ref="G12:G71" si="3">MAX(D12,E12)*1.33+F12</f>
        <v>6.5121121547704446</v>
      </c>
      <c r="H12" s="44">
        <f t="shared" ref="H12:H71" si="4">CamionFat($D$3,$D$4,$C12)</f>
        <v>3.1582084388012439</v>
      </c>
      <c r="I12" s="44">
        <f t="shared" ref="I12:I71" si="5">H12*1.15</f>
        <v>3.6319397046214301</v>
      </c>
      <c r="K12" s="49">
        <v>9.0000002699999992</v>
      </c>
    </row>
    <row r="13" spans="2:11" hidden="1" x14ac:dyDescent="0.25">
      <c r="B13" s="51">
        <f>+B12+1</f>
        <v>2</v>
      </c>
      <c r="C13" s="45">
        <f>$D$3/MAX(B13:$B$71)*B13</f>
        <v>0.36666666666666664</v>
      </c>
      <c r="D13" s="53">
        <f t="shared" si="1"/>
        <v>8.1795995450400021</v>
      </c>
      <c r="E13" s="53">
        <f t="shared" si="2"/>
        <v>7.5599998790399994</v>
      </c>
      <c r="F13" s="53">
        <f t="shared" si="0"/>
        <v>1.8558711111111108</v>
      </c>
      <c r="G13" s="45">
        <f t="shared" si="3"/>
        <v>12.734738506014313</v>
      </c>
      <c r="H13" s="44">
        <f t="shared" si="4"/>
        <v>6.1158956575503662</v>
      </c>
      <c r="I13" s="44">
        <f t="shared" si="5"/>
        <v>7.0332800061829204</v>
      </c>
      <c r="K13" s="49">
        <v>9.3000003000000007</v>
      </c>
    </row>
    <row r="14" spans="2:11" hidden="1" x14ac:dyDescent="0.25">
      <c r="B14" s="51">
        <f t="shared" ref="B14:B71" si="6">+B13+1</f>
        <v>3</v>
      </c>
      <c r="C14" s="45">
        <f>$D$3/MAX(B14:$B$71)*B14</f>
        <v>0.54999999999999993</v>
      </c>
      <c r="D14" s="53">
        <f t="shared" si="1"/>
        <v>11.978999288520001</v>
      </c>
      <c r="E14" s="53">
        <f t="shared" si="2"/>
        <v>11.113199795879998</v>
      </c>
      <c r="F14" s="53">
        <f t="shared" si="0"/>
        <v>2.7358099999999994</v>
      </c>
      <c r="G14" s="45">
        <f t="shared" si="3"/>
        <v>18.667879053731603</v>
      </c>
      <c r="H14" s="44">
        <f t="shared" si="4"/>
        <v>8.8730616562473674</v>
      </c>
      <c r="I14" s="44">
        <f t="shared" si="5"/>
        <v>10.204020904684471</v>
      </c>
      <c r="K14" s="49">
        <v>9.6000003300000021</v>
      </c>
    </row>
    <row r="15" spans="2:11" hidden="1" x14ac:dyDescent="0.25">
      <c r="B15" s="51">
        <f t="shared" si="6"/>
        <v>4</v>
      </c>
      <c r="C15" s="45">
        <f>$D$3/MAX(B15:$B$71)*B15</f>
        <v>0.73333333333333328</v>
      </c>
      <c r="D15" s="53">
        <f t="shared" si="1"/>
        <v>15.584799012640007</v>
      </c>
      <c r="E15" s="53">
        <f t="shared" si="2"/>
        <v>14.5151996976</v>
      </c>
      <c r="F15" s="53">
        <f t="shared" si="0"/>
        <v>3.5837511111111109</v>
      </c>
      <c r="G15" s="45">
        <f t="shared" si="3"/>
        <v>24.311533797922323</v>
      </c>
      <c r="H15" s="44">
        <f t="shared" si="4"/>
        <v>11.42970643489225</v>
      </c>
      <c r="I15" s="44">
        <f t="shared" si="5"/>
        <v>13.144162400126087</v>
      </c>
      <c r="K15" s="49">
        <v>9.9000003600000035</v>
      </c>
    </row>
    <row r="16" spans="2:11" hidden="1" x14ac:dyDescent="0.25">
      <c r="B16" s="51">
        <f t="shared" si="6"/>
        <v>5</v>
      </c>
      <c r="C16" s="45">
        <f>$D$3/MAX(B16:$B$71)*B16</f>
        <v>0.91666666666666663</v>
      </c>
      <c r="D16" s="53">
        <f t="shared" si="1"/>
        <v>18.997006291999956</v>
      </c>
      <c r="E16" s="53">
        <f t="shared" si="2"/>
        <v>17.766001984500008</v>
      </c>
      <c r="F16" s="53">
        <f t="shared" si="0"/>
        <v>4.3996944444444441</v>
      </c>
      <c r="G16" s="45">
        <f t="shared" si="3"/>
        <v>29.665712812804387</v>
      </c>
      <c r="H16" s="44">
        <f t="shared" si="4"/>
        <v>13.785844907249189</v>
      </c>
      <c r="I16" s="44">
        <f t="shared" si="5"/>
        <v>15.853721643336566</v>
      </c>
      <c r="K16" s="49">
        <v>10.200000390000005</v>
      </c>
    </row>
    <row r="17" spans="2:11" hidden="1" x14ac:dyDescent="0.25">
      <c r="B17" s="51">
        <f t="shared" si="6"/>
        <v>6</v>
      </c>
      <c r="C17" s="45">
        <f>$D$3/MAX(B17:$B$71)*B17</f>
        <v>1.0999999999999999</v>
      </c>
      <c r="D17" s="53">
        <f t="shared" si="1"/>
        <v>22.505998431840005</v>
      </c>
      <c r="E17" s="53">
        <f t="shared" si="2"/>
        <v>21.092399478359994</v>
      </c>
      <c r="F17" s="53">
        <f t="shared" si="0"/>
        <v>5.1836399999999996</v>
      </c>
      <c r="G17" s="45">
        <f t="shared" si="3"/>
        <v>35.116617914347209</v>
      </c>
      <c r="H17" s="44">
        <f t="shared" si="4"/>
        <v>16.242214162103828</v>
      </c>
      <c r="I17" s="44">
        <f t="shared" si="5"/>
        <v>18.678546286419401</v>
      </c>
      <c r="K17" s="49">
        <v>10.600000430000007</v>
      </c>
    </row>
    <row r="18" spans="2:11" hidden="1" x14ac:dyDescent="0.25">
      <c r="B18" s="51">
        <f t="shared" si="6"/>
        <v>7</v>
      </c>
      <c r="C18" s="45">
        <f>$D$3/MAX(B18:$B$71)*B18</f>
        <v>1.2833333333333332</v>
      </c>
      <c r="D18" s="53">
        <f t="shared" si="1"/>
        <v>25.57939810272002</v>
      </c>
      <c r="E18" s="53">
        <f t="shared" si="2"/>
        <v>24.078599338499995</v>
      </c>
      <c r="F18" s="53">
        <f t="shared" si="0"/>
        <v>5.9355877777777764</v>
      </c>
      <c r="G18" s="45">
        <f t="shared" si="3"/>
        <v>39.956187254395402</v>
      </c>
      <c r="H18" s="44">
        <f t="shared" si="4"/>
        <v>18.247425585605377</v>
      </c>
      <c r="I18" s="44">
        <f t="shared" si="5"/>
        <v>20.984539423446183</v>
      </c>
      <c r="K18" s="49">
        <v>6.700000039999999</v>
      </c>
    </row>
    <row r="19" spans="2:11" hidden="1" x14ac:dyDescent="0.25">
      <c r="B19" s="51">
        <f t="shared" si="6"/>
        <v>8</v>
      </c>
      <c r="C19" s="45">
        <f>$D$3/MAX(B19:$B$71)*B19</f>
        <v>1.4666666666666666</v>
      </c>
      <c r="D19" s="53">
        <f t="shared" si="1"/>
        <v>28.459197754240023</v>
      </c>
      <c r="E19" s="53">
        <f t="shared" si="2"/>
        <v>26.913599183519999</v>
      </c>
      <c r="F19" s="53">
        <f t="shared" si="0"/>
        <v>6.6555377777777771</v>
      </c>
      <c r="G19" s="45">
        <f t="shared" si="3"/>
        <v>44.506270790917014</v>
      </c>
      <c r="H19" s="44">
        <f t="shared" si="4"/>
        <v>20.052115789054803</v>
      </c>
      <c r="I19" s="44">
        <f t="shared" si="5"/>
        <v>23.05993315741302</v>
      </c>
      <c r="K19" s="49">
        <v>7.0000000699999978</v>
      </c>
    </row>
    <row r="20" spans="2:11" hidden="1" x14ac:dyDescent="0.25">
      <c r="B20" s="51">
        <f t="shared" si="6"/>
        <v>9</v>
      </c>
      <c r="C20" s="45">
        <f>$D$3/MAX(B20:$B$71)*B20</f>
        <v>1.65</v>
      </c>
      <c r="D20" s="53">
        <f t="shared" si="1"/>
        <v>31.145397386400028</v>
      </c>
      <c r="E20" s="53">
        <f t="shared" si="2"/>
        <v>29.597399013419995</v>
      </c>
      <c r="F20" s="53">
        <f t="shared" si="0"/>
        <v>7.3434899999999983</v>
      </c>
      <c r="G20" s="45">
        <f t="shared" si="3"/>
        <v>48.766868523912038</v>
      </c>
      <c r="H20" s="44">
        <f t="shared" si="4"/>
        <v>21.656284772452107</v>
      </c>
      <c r="I20" s="44">
        <f t="shared" si="5"/>
        <v>24.904727488319921</v>
      </c>
      <c r="K20" s="49">
        <v>7.3000000999999966</v>
      </c>
    </row>
    <row r="21" spans="2:11" hidden="1" x14ac:dyDescent="0.25">
      <c r="B21" s="51">
        <f t="shared" si="6"/>
        <v>10</v>
      </c>
      <c r="C21" s="45">
        <f>$D$3/MAX(B21:$B$71)*B21</f>
        <v>1.8333333333333333</v>
      </c>
      <c r="D21" s="53">
        <f t="shared" si="1"/>
        <v>33.638005904799925</v>
      </c>
      <c r="E21" s="53">
        <f t="shared" si="2"/>
        <v>32.130002268000005</v>
      </c>
      <c r="F21" s="53">
        <f t="shared" si="0"/>
        <v>7.9994444444444435</v>
      </c>
      <c r="G21" s="45">
        <f t="shared" si="3"/>
        <v>52.737992297828349</v>
      </c>
      <c r="H21" s="44">
        <f t="shared" si="4"/>
        <v>23.05994882814479</v>
      </c>
      <c r="I21" s="44">
        <f t="shared" si="5"/>
        <v>26.518941152366509</v>
      </c>
      <c r="K21" s="49">
        <v>7.6000001299999953</v>
      </c>
    </row>
    <row r="22" spans="2:11" hidden="1" x14ac:dyDescent="0.25">
      <c r="B22" s="51">
        <f t="shared" si="6"/>
        <v>11</v>
      </c>
      <c r="C22" s="45">
        <f>$D$3/MAX(B22:$B$71)*B22</f>
        <v>2.0166666666666666</v>
      </c>
      <c r="D22" s="53">
        <f t="shared" si="1"/>
        <v>36.227405793479932</v>
      </c>
      <c r="E22" s="53">
        <f t="shared" si="2"/>
        <v>34.738202298240004</v>
      </c>
      <c r="F22" s="53">
        <f t="shared" si="0"/>
        <v>8.6234011111111126</v>
      </c>
      <c r="G22" s="45">
        <f t="shared" si="3"/>
        <v>56.805850816439424</v>
      </c>
      <c r="H22" s="44">
        <f t="shared" si="4"/>
        <v>24.563860510115855</v>
      </c>
      <c r="I22" s="44">
        <f t="shared" si="5"/>
        <v>28.248439586633232</v>
      </c>
      <c r="K22" s="49">
        <v>8.0000001699999945</v>
      </c>
    </row>
    <row r="23" spans="2:11" hidden="1" x14ac:dyDescent="0.25">
      <c r="B23" s="51">
        <f t="shared" si="6"/>
        <v>12</v>
      </c>
      <c r="C23" s="45">
        <f>$D$3/MAX(B23:$B$71)*B23</f>
        <v>2.1999999999999997</v>
      </c>
      <c r="D23" s="53">
        <f t="shared" si="1"/>
        <v>38.623196224800054</v>
      </c>
      <c r="E23" s="53">
        <f t="shared" si="2"/>
        <v>37.195198457759986</v>
      </c>
      <c r="F23" s="53">
        <f t="shared" si="0"/>
        <v>9.2153600000000004</v>
      </c>
      <c r="G23" s="45">
        <f t="shared" si="3"/>
        <v>60.584210978984075</v>
      </c>
      <c r="H23" s="44">
        <f t="shared" si="4"/>
        <v>26.468797738280035</v>
      </c>
      <c r="I23" s="44">
        <f t="shared" si="5"/>
        <v>30.439117399022038</v>
      </c>
      <c r="K23" s="49">
        <v>8.3000001999999959</v>
      </c>
    </row>
    <row r="24" spans="2:11" hidden="1" x14ac:dyDescent="0.25">
      <c r="B24" s="51">
        <f t="shared" si="6"/>
        <v>13</v>
      </c>
      <c r="C24" s="45">
        <f>$D$3/MAX(B24:$B$71)*B24</f>
        <v>2.3833333333333333</v>
      </c>
      <c r="D24" s="53">
        <f t="shared" si="1"/>
        <v>40.583395784360057</v>
      </c>
      <c r="E24" s="53">
        <f t="shared" si="2"/>
        <v>39.31199823096</v>
      </c>
      <c r="F24" s="53">
        <f t="shared" si="0"/>
        <v>9.7753211111111096</v>
      </c>
      <c r="G24" s="45">
        <f t="shared" si="3"/>
        <v>63.751237504309991</v>
      </c>
      <c r="H24" s="44">
        <f t="shared" si="4"/>
        <v>28.022836917967314</v>
      </c>
      <c r="I24" s="44">
        <f t="shared" si="5"/>
        <v>32.226262455662408</v>
      </c>
      <c r="K24" s="49">
        <v>8.7000002399999978</v>
      </c>
    </row>
    <row r="25" spans="2:11" hidden="1" x14ac:dyDescent="0.25">
      <c r="B25" s="51">
        <f t="shared" si="6"/>
        <v>14</v>
      </c>
      <c r="C25" s="45">
        <f>$D$3/MAX(B25:$B$71)*B25</f>
        <v>2.5666666666666664</v>
      </c>
      <c r="D25" s="53">
        <f t="shared" si="1"/>
        <v>42.349995324560069</v>
      </c>
      <c r="E25" s="53">
        <f t="shared" si="2"/>
        <v>41.27759798903999</v>
      </c>
      <c r="F25" s="53">
        <f t="shared" si="0"/>
        <v>10.303284444444444</v>
      </c>
      <c r="G25" s="45">
        <f t="shared" si="3"/>
        <v>66.628778226109347</v>
      </c>
      <c r="H25" s="44">
        <f t="shared" si="4"/>
        <v>29.476615487628525</v>
      </c>
      <c r="I25" s="44">
        <f t="shared" si="5"/>
        <v>33.8981078107728</v>
      </c>
      <c r="K25" s="49">
        <v>9.0000002699999992</v>
      </c>
    </row>
    <row r="26" spans="2:11" hidden="1" x14ac:dyDescent="0.25">
      <c r="B26" s="51">
        <f t="shared" si="6"/>
        <v>15</v>
      </c>
      <c r="C26" s="45">
        <f>$D$3/MAX(B26:$B$71)*B26</f>
        <v>2.75</v>
      </c>
      <c r="D26" s="53">
        <f t="shared" si="1"/>
        <v>43.923005081999918</v>
      </c>
      <c r="E26" s="53">
        <f t="shared" si="2"/>
        <v>43.092002211300013</v>
      </c>
      <c r="F26" s="53">
        <f t="shared" si="0"/>
        <v>10.799249999999999</v>
      </c>
      <c r="G26" s="45">
        <f t="shared" si="3"/>
        <v>69.216846759059891</v>
      </c>
      <c r="H26" s="44">
        <f t="shared" si="4"/>
        <v>30.830133447263691</v>
      </c>
      <c r="I26" s="44">
        <f t="shared" si="5"/>
        <v>35.454653464353242</v>
      </c>
      <c r="K26" s="49">
        <v>9.3000003000000007</v>
      </c>
    </row>
    <row r="27" spans="2:11" hidden="1" x14ac:dyDescent="0.25">
      <c r="B27" s="51">
        <f t="shared" si="6"/>
        <v>16</v>
      </c>
      <c r="C27" s="45">
        <f>$D$3/MAX(B27:$B$71)*B27</f>
        <v>2.9333333333333331</v>
      </c>
      <c r="D27" s="53">
        <f t="shared" si="1"/>
        <v>45.592804878719917</v>
      </c>
      <c r="E27" s="53">
        <f t="shared" si="2"/>
        <v>44.982002169720005</v>
      </c>
      <c r="F27" s="53">
        <f t="shared" si="0"/>
        <v>11.263217777777777</v>
      </c>
      <c r="G27" s="45">
        <f t="shared" si="3"/>
        <v>71.901648266475277</v>
      </c>
      <c r="H27" s="44">
        <f t="shared" si="4"/>
        <v>32.083390796872784</v>
      </c>
      <c r="I27" s="44">
        <f t="shared" si="5"/>
        <v>36.895899416403701</v>
      </c>
      <c r="K27" s="49">
        <v>9.6000003300000021</v>
      </c>
    </row>
    <row r="28" spans="2:11" hidden="1" x14ac:dyDescent="0.25">
      <c r="B28" s="51">
        <f t="shared" si="6"/>
        <v>17</v>
      </c>
      <c r="C28" s="45">
        <f>$D$3/MAX(B28:$B$71)*B28</f>
        <v>3.1166666666666663</v>
      </c>
      <c r="D28" s="53">
        <f t="shared" si="1"/>
        <v>47.069004656079919</v>
      </c>
      <c r="E28" s="53">
        <f t="shared" si="2"/>
        <v>46.72080211302</v>
      </c>
      <c r="F28" s="53">
        <f t="shared" si="0"/>
        <v>11.695187777777777</v>
      </c>
      <c r="G28" s="45">
        <f t="shared" si="3"/>
        <v>74.296963970364075</v>
      </c>
      <c r="H28" s="44">
        <f t="shared" si="4"/>
        <v>33.411857991397603</v>
      </c>
      <c r="I28" s="44">
        <f t="shared" si="5"/>
        <v>38.423636690107244</v>
      </c>
      <c r="K28" s="49">
        <v>10.000000370000004</v>
      </c>
    </row>
    <row r="29" spans="2:11" hidden="1" x14ac:dyDescent="0.25">
      <c r="B29" s="51">
        <f t="shared" si="6"/>
        <v>18</v>
      </c>
      <c r="C29" s="45">
        <f>$D$3/MAX(B29:$B$71)*B29</f>
        <v>3.3</v>
      </c>
      <c r="D29" s="53">
        <f t="shared" si="1"/>
        <v>48.351593378880111</v>
      </c>
      <c r="E29" s="53">
        <f t="shared" si="2"/>
        <v>48.308396938200005</v>
      </c>
      <c r="F29" s="53">
        <f t="shared" si="0"/>
        <v>12.095159999999998</v>
      </c>
      <c r="G29" s="45">
        <f t="shared" si="3"/>
        <v>76.402779193910547</v>
      </c>
      <c r="H29" s="44">
        <f t="shared" si="4"/>
        <v>34.740296411130082</v>
      </c>
      <c r="I29" s="44">
        <f t="shared" si="5"/>
        <v>39.951340872799591</v>
      </c>
      <c r="K29" s="49">
        <v>10.300000400000005</v>
      </c>
    </row>
    <row r="30" spans="2:11" hidden="1" x14ac:dyDescent="0.25">
      <c r="B30" s="51">
        <f t="shared" si="6"/>
        <v>19</v>
      </c>
      <c r="C30" s="45">
        <f>$D$3/MAX(B30:$B$71)*B30</f>
        <v>3.4833333333333329</v>
      </c>
      <c r="D30" s="53">
        <f t="shared" si="1"/>
        <v>49.198592827120123</v>
      </c>
      <c r="E30" s="53">
        <f t="shared" si="2"/>
        <v>49.555796624460015</v>
      </c>
      <c r="F30" s="53">
        <f t="shared" si="0"/>
        <v>12.463134444444444</v>
      </c>
      <c r="G30" s="45">
        <f t="shared" si="3"/>
        <v>78.372343954976273</v>
      </c>
      <c r="H30" s="44">
        <f t="shared" si="4"/>
        <v>35.717837083167517</v>
      </c>
      <c r="I30" s="44">
        <f t="shared" si="5"/>
        <v>41.07551264564264</v>
      </c>
      <c r="K30" s="49">
        <v>10.600000430000007</v>
      </c>
    </row>
    <row r="31" spans="2:11" hidden="1" x14ac:dyDescent="0.25">
      <c r="B31" s="51">
        <f t="shared" si="6"/>
        <v>20</v>
      </c>
      <c r="C31" s="45">
        <f>$D$3/MAX(B31:$B$71)*B31</f>
        <v>3.6666666666666665</v>
      </c>
      <c r="D31" s="53">
        <f t="shared" si="1"/>
        <v>49.852003823599929</v>
      </c>
      <c r="E31" s="53">
        <f t="shared" si="2"/>
        <v>50.652001814399995</v>
      </c>
      <c r="F31" s="53">
        <f t="shared" si="0"/>
        <v>12.799111111111111</v>
      </c>
      <c r="G31" s="45">
        <f t="shared" si="3"/>
        <v>80.166273524263119</v>
      </c>
      <c r="H31" s="44">
        <f t="shared" si="4"/>
        <v>36.595117145178889</v>
      </c>
      <c r="I31" s="44">
        <f t="shared" si="5"/>
        <v>42.084384716955718</v>
      </c>
      <c r="K31" s="49">
        <v>11.000000470000009</v>
      </c>
    </row>
    <row r="32" spans="2:11" hidden="1" x14ac:dyDescent="0.25">
      <c r="B32" s="51">
        <f t="shared" si="6"/>
        <v>21</v>
      </c>
      <c r="C32" s="45">
        <f>$D$3/MAX(B32:$B$71)*B32</f>
        <v>3.8499999999999996</v>
      </c>
      <c r="D32" s="53">
        <f t="shared" si="1"/>
        <v>50.602203528359937</v>
      </c>
      <c r="E32" s="53">
        <f t="shared" si="2"/>
        <v>51.823801700999987</v>
      </c>
      <c r="F32" s="53">
        <f t="shared" si="0"/>
        <v>13.10309</v>
      </c>
      <c r="G32" s="45">
        <f t="shared" si="3"/>
        <v>82.028746262329975</v>
      </c>
      <c r="H32" s="44">
        <f t="shared" si="4"/>
        <v>37.3721365971642</v>
      </c>
      <c r="I32" s="44">
        <f t="shared" si="5"/>
        <v>42.977957086738826</v>
      </c>
      <c r="K32" s="49">
        <v>11.30000050000001</v>
      </c>
    </row>
    <row r="33" spans="2:11" hidden="1" x14ac:dyDescent="0.25">
      <c r="B33" s="51">
        <f t="shared" si="6"/>
        <v>22</v>
      </c>
      <c r="C33" s="45">
        <f>$D$3/MAX(B33:$B$71)*B33</f>
        <v>4.0333333333333332</v>
      </c>
      <c r="D33" s="53">
        <f t="shared" si="1"/>
        <v>51.158803213759953</v>
      </c>
      <c r="E33" s="53">
        <f t="shared" si="2"/>
        <v>52.844401572479981</v>
      </c>
      <c r="F33" s="53">
        <f t="shared" si="0"/>
        <v>13.375071111111112</v>
      </c>
      <c r="G33" s="45">
        <f t="shared" si="3"/>
        <v>83.658125202509495</v>
      </c>
      <c r="H33" s="44">
        <f t="shared" si="4"/>
        <v>38.099040382184192</v>
      </c>
      <c r="I33" s="44">
        <f t="shared" si="5"/>
        <v>43.813896439511815</v>
      </c>
      <c r="K33" s="49">
        <v>11.600000530000012</v>
      </c>
    </row>
    <row r="34" spans="2:11" hidden="1" x14ac:dyDescent="0.25">
      <c r="B34" s="51">
        <f t="shared" si="6"/>
        <v>23</v>
      </c>
      <c r="C34" s="45">
        <f>$D$3/MAX(B34:$B$71)*B34</f>
        <v>4.2166666666666668</v>
      </c>
      <c r="D34" s="53">
        <f t="shared" si="1"/>
        <v>51.521802879799964</v>
      </c>
      <c r="E34" s="53">
        <f t="shared" si="2"/>
        <v>53.713801428839986</v>
      </c>
      <c r="F34" s="53">
        <f t="shared" si="0"/>
        <v>13.615054444444445</v>
      </c>
      <c r="G34" s="45">
        <f t="shared" si="3"/>
        <v>85.054410344801624</v>
      </c>
      <c r="H34" s="44">
        <f t="shared" si="4"/>
        <v>38.951255341819348</v>
      </c>
      <c r="I34" s="44">
        <f t="shared" si="5"/>
        <v>44.793943643092248</v>
      </c>
      <c r="K34" s="49">
        <v>12.000000570000013</v>
      </c>
    </row>
    <row r="35" spans="2:11" hidden="1" x14ac:dyDescent="0.25">
      <c r="B35" s="51">
        <f t="shared" si="6"/>
        <v>24</v>
      </c>
      <c r="C35" s="45">
        <f>$D$3/MAX(B35:$B$71)*B35</f>
        <v>4.3999999999999995</v>
      </c>
      <c r="D35" s="53">
        <f t="shared" si="1"/>
        <v>51.908991788940092</v>
      </c>
      <c r="E35" s="53">
        <f t="shared" si="2"/>
        <v>54.431994919680051</v>
      </c>
      <c r="F35" s="53">
        <f t="shared" si="0"/>
        <v>13.823040000000001</v>
      </c>
      <c r="G35" s="45">
        <f t="shared" si="3"/>
        <v>86.217593243174477</v>
      </c>
      <c r="H35" s="44">
        <f t="shared" si="4"/>
        <v>39.920992457567699</v>
      </c>
      <c r="I35" s="44">
        <f t="shared" si="5"/>
        <v>45.90914132620285</v>
      </c>
      <c r="K35" s="49">
        <v>12.300000600000015</v>
      </c>
    </row>
    <row r="36" spans="2:11" x14ac:dyDescent="0.25">
      <c r="B36" s="51">
        <f t="shared" si="6"/>
        <v>25</v>
      </c>
      <c r="C36" s="45">
        <f>$D$3/MAX(B36:$B$71)*B36</f>
        <v>4.583333333333333</v>
      </c>
      <c r="D36" s="53">
        <f t="shared" si="1"/>
        <v>52.060241115575089</v>
      </c>
      <c r="E36" s="53">
        <f t="shared" si="2"/>
        <v>54.810001077299987</v>
      </c>
      <c r="F36" s="53">
        <f t="shared" si="0"/>
        <v>13.999027777777778</v>
      </c>
      <c r="G36" s="45">
        <f t="shared" si="3"/>
        <v>86.896329210586771</v>
      </c>
      <c r="H36" s="44">
        <f t="shared" si="4"/>
        <v>40.739484357648941</v>
      </c>
      <c r="I36" s="44">
        <f t="shared" si="5"/>
        <v>46.850407011296276</v>
      </c>
      <c r="K36" s="49">
        <v>12.600000630000016</v>
      </c>
    </row>
    <row r="37" spans="2:11" x14ac:dyDescent="0.25">
      <c r="B37" s="51">
        <f t="shared" si="6"/>
        <v>26</v>
      </c>
      <c r="C37" s="45">
        <f>$D$3/MAX(B37:$B$71)*B37</f>
        <v>4.7666666666666666</v>
      </c>
      <c r="D37" s="53">
        <f t="shared" si="1"/>
        <v>52.07840359369996</v>
      </c>
      <c r="E37" s="53">
        <f t="shared" si="2"/>
        <v>55.263600892079992</v>
      </c>
      <c r="F37" s="53">
        <f t="shared" si="0"/>
        <v>14.143017777777777</v>
      </c>
      <c r="G37" s="45">
        <f t="shared" si="3"/>
        <v>87.643606964244171</v>
      </c>
      <c r="H37" s="44">
        <f t="shared" si="4"/>
        <v>41.43351564528411</v>
      </c>
      <c r="I37" s="44">
        <f t="shared" si="5"/>
        <v>47.64854299207672</v>
      </c>
      <c r="K37" s="49">
        <v>12.900000660000018</v>
      </c>
    </row>
    <row r="38" spans="2:11" s="63" customFormat="1" x14ac:dyDescent="0.25">
      <c r="B38" s="59">
        <f t="shared" si="6"/>
        <v>27</v>
      </c>
      <c r="C38" s="60">
        <f>$D$3/MAX(B38:$B$71)*B38</f>
        <v>4.9499999999999993</v>
      </c>
      <c r="D38" s="61">
        <f t="shared" si="1"/>
        <v>52.090503172619975</v>
      </c>
      <c r="E38" s="53">
        <f t="shared" si="2"/>
        <v>55.566000691739994</v>
      </c>
      <c r="F38" s="61">
        <f t="shared" si="0"/>
        <v>14.255009999999999</v>
      </c>
      <c r="G38" s="60">
        <f t="shared" si="3"/>
        <v>88.157790920014193</v>
      </c>
      <c r="H38" s="62">
        <f t="shared" si="4"/>
        <v>42.003086320473209</v>
      </c>
      <c r="I38" s="62">
        <f t="shared" si="5"/>
        <v>48.303549268544188</v>
      </c>
      <c r="K38" s="64">
        <v>13.30000070000002</v>
      </c>
    </row>
    <row r="39" spans="2:11" x14ac:dyDescent="0.25">
      <c r="B39" s="51">
        <f t="shared" si="6"/>
        <v>28</v>
      </c>
      <c r="C39" s="45">
        <f>$D$3/MAX(B39:$B$71)*B39</f>
        <v>5.1333333333333329</v>
      </c>
      <c r="D39" s="53">
        <f t="shared" si="1"/>
        <v>51.884802729759983</v>
      </c>
      <c r="E39" s="53">
        <f t="shared" si="2"/>
        <v>55.717200476279999</v>
      </c>
      <c r="F39" s="53">
        <f t="shared" si="0"/>
        <v>14.335004444444444</v>
      </c>
      <c r="G39" s="45">
        <f t="shared" si="3"/>
        <v>88.438881077896838</v>
      </c>
      <c r="H39" s="44">
        <f t="shared" si="4"/>
        <v>42.455138839155829</v>
      </c>
      <c r="I39" s="44">
        <f t="shared" si="5"/>
        <v>48.823409665029203</v>
      </c>
      <c r="K39" s="49">
        <v>13.600000730000021</v>
      </c>
    </row>
    <row r="40" spans="2:11" x14ac:dyDescent="0.25">
      <c r="B40" s="51">
        <f t="shared" si="6"/>
        <v>29</v>
      </c>
      <c r="C40" s="45">
        <f>$D$3/MAX(B40:$B$71)*B40</f>
        <v>5.3166666666666664</v>
      </c>
      <c r="D40" s="53">
        <f t="shared" si="1"/>
        <v>51.461302265119983</v>
      </c>
      <c r="E40" s="53">
        <f t="shared" si="2"/>
        <v>55.717200245699999</v>
      </c>
      <c r="F40" s="53">
        <f t="shared" si="0"/>
        <v>14.38300111111111</v>
      </c>
      <c r="G40" s="45">
        <f t="shared" si="3"/>
        <v>88.486877437892119</v>
      </c>
      <c r="H40" s="44">
        <f t="shared" si="4"/>
        <v>43.057555243346151</v>
      </c>
      <c r="I40" s="44">
        <f t="shared" si="5"/>
        <v>49.516188529848073</v>
      </c>
      <c r="K40" s="49">
        <v>13.900000760000022</v>
      </c>
    </row>
    <row r="41" spans="2:11" x14ac:dyDescent="0.25">
      <c r="B41" s="51">
        <f t="shared" si="6"/>
        <v>30</v>
      </c>
      <c r="C41" s="45">
        <f>$D$3/MAX(B41:$B$71)*B41</f>
        <v>5.5</v>
      </c>
      <c r="D41" s="53">
        <f t="shared" si="1"/>
        <v>50.81998754910007</v>
      </c>
      <c r="E41" s="53">
        <f t="shared" si="2"/>
        <v>55.566000000000003</v>
      </c>
      <c r="F41" s="53">
        <f t="shared" si="0"/>
        <v>14.398999999999999</v>
      </c>
      <c r="G41" s="45">
        <f t="shared" si="3"/>
        <v>88.301780000000008</v>
      </c>
      <c r="H41" s="44">
        <f t="shared" si="4"/>
        <v>43.535489228409645</v>
      </c>
      <c r="I41" s="44">
        <f t="shared" si="5"/>
        <v>50.065812612671088</v>
      </c>
      <c r="K41" s="49">
        <v>14.300000800000024</v>
      </c>
    </row>
    <row r="42" spans="2:11" x14ac:dyDescent="0.25">
      <c r="B42" s="51">
        <f>+B41+1</f>
        <v>31</v>
      </c>
      <c r="C42" s="45">
        <f>$D$3/MAX(B42:$B$71)*B42</f>
        <v>5.6833333333333327</v>
      </c>
      <c r="D42" s="53">
        <f t="shared" si="1"/>
        <v>49.833851257794997</v>
      </c>
      <c r="E42" s="53">
        <f t="shared" si="2"/>
        <v>55.71719978454</v>
      </c>
      <c r="F42" s="53">
        <f t="shared" si="0"/>
        <v>14.383001111111112</v>
      </c>
      <c r="G42" s="45">
        <f t="shared" si="3"/>
        <v>88.486876824549313</v>
      </c>
      <c r="H42" s="44">
        <f t="shared" si="4"/>
        <v>43.638332606926028</v>
      </c>
      <c r="I42" s="44">
        <f t="shared" si="5"/>
        <v>50.18408249796493</v>
      </c>
      <c r="K42" s="49">
        <v>14.600000830000026</v>
      </c>
    </row>
    <row r="43" spans="2:11" x14ac:dyDescent="0.25">
      <c r="B43" s="51">
        <f t="shared" si="6"/>
        <v>32</v>
      </c>
      <c r="C43" s="45">
        <f>$D$3/MAX(B43:$B$71)*B43</f>
        <v>5.8666666666666663</v>
      </c>
      <c r="D43" s="53">
        <f t="shared" si="1"/>
        <v>50.335999428880008</v>
      </c>
      <c r="E43" s="53">
        <f t="shared" si="2"/>
        <v>55.71719955396</v>
      </c>
      <c r="F43" s="53">
        <f t="shared" ref="F43:F71" si="7">$D$6*C43/2*($D$3-C43)</f>
        <v>14.335004444444444</v>
      </c>
      <c r="G43" s="45">
        <f t="shared" si="3"/>
        <v>88.438879851211254</v>
      </c>
      <c r="H43" s="44">
        <f t="shared" si="4"/>
        <v>43.616715372996353</v>
      </c>
      <c r="I43" s="44">
        <f t="shared" si="5"/>
        <v>50.159222678945802</v>
      </c>
      <c r="K43" s="49">
        <v>14.900000860000027</v>
      </c>
    </row>
    <row r="44" spans="2:11" x14ac:dyDescent="0.25">
      <c r="B44" s="51">
        <f t="shared" si="6"/>
        <v>33</v>
      </c>
      <c r="C44" s="45">
        <f>$D$3/MAX(B44:$B$71)*B44</f>
        <v>6.05</v>
      </c>
      <c r="D44" s="53">
        <f t="shared" si="1"/>
        <v>50.892599114280003</v>
      </c>
      <c r="E44" s="53">
        <f t="shared" si="2"/>
        <v>55.565999308260004</v>
      </c>
      <c r="F44" s="53">
        <f t="shared" si="7"/>
        <v>14.25501</v>
      </c>
      <c r="G44" s="45">
        <f t="shared" si="3"/>
        <v>88.157789079985804</v>
      </c>
      <c r="H44" s="44">
        <f t="shared" si="4"/>
        <v>43.470637526620614</v>
      </c>
      <c r="I44" s="44">
        <f t="shared" si="5"/>
        <v>49.991233155613699</v>
      </c>
      <c r="K44" s="49">
        <v>15.300000900000029</v>
      </c>
    </row>
    <row r="45" spans="2:11" hidden="1" x14ac:dyDescent="0.25">
      <c r="B45" s="51">
        <f t="shared" si="6"/>
        <v>34</v>
      </c>
      <c r="C45" s="45">
        <f>$D$3/MAX(B45:$B$71)*B45</f>
        <v>6.2333333333333325</v>
      </c>
      <c r="D45" s="53">
        <f t="shared" si="1"/>
        <v>51.255598780320014</v>
      </c>
      <c r="E45" s="53">
        <f t="shared" si="2"/>
        <v>55.26359904744001</v>
      </c>
      <c r="F45" s="53">
        <f t="shared" si="7"/>
        <v>14.143017777777779</v>
      </c>
      <c r="G45" s="45">
        <f t="shared" si="3"/>
        <v>87.64360451087299</v>
      </c>
      <c r="H45" s="44">
        <f t="shared" si="4"/>
        <v>43.393734096707441</v>
      </c>
      <c r="I45" s="44">
        <f t="shared" si="5"/>
        <v>49.902794211213553</v>
      </c>
      <c r="K45" s="49">
        <v>11.400000510000011</v>
      </c>
    </row>
    <row r="46" spans="2:11" hidden="1" x14ac:dyDescent="0.25">
      <c r="B46" s="51">
        <f t="shared" si="6"/>
        <v>35</v>
      </c>
      <c r="C46" s="45">
        <f>$D$3/MAX(B46:$B$71)*B46</f>
        <v>6.4166666666666661</v>
      </c>
      <c r="D46" s="53">
        <f t="shared" si="1"/>
        <v>51.425007743999906</v>
      </c>
      <c r="E46" s="53">
        <f t="shared" si="2"/>
        <v>54.81000604799992</v>
      </c>
      <c r="F46" s="53">
        <f t="shared" si="7"/>
        <v>13.999027777777778</v>
      </c>
      <c r="G46" s="45">
        <f t="shared" si="3"/>
        <v>86.896335821617683</v>
      </c>
      <c r="H46" s="44">
        <f t="shared" si="4"/>
        <v>43.280501979332918</v>
      </c>
      <c r="I46" s="44">
        <f t="shared" si="5"/>
        <v>49.772577276232852</v>
      </c>
      <c r="K46" s="49">
        <v>11.700000540000012</v>
      </c>
    </row>
    <row r="47" spans="2:11" hidden="1" x14ac:dyDescent="0.25">
      <c r="B47" s="51">
        <f t="shared" si="6"/>
        <v>36</v>
      </c>
      <c r="C47" s="45">
        <f>$D$3/MAX(B47:$B$71)*B47</f>
        <v>6.6</v>
      </c>
      <c r="D47" s="53">
        <f t="shared" si="1"/>
        <v>51.691198083360021</v>
      </c>
      <c r="E47" s="53">
        <f t="shared" si="2"/>
        <v>54.431998503120013</v>
      </c>
      <c r="F47" s="53">
        <f t="shared" si="7"/>
        <v>13.823039999999999</v>
      </c>
      <c r="G47" s="45">
        <f t="shared" si="3"/>
        <v>86.217598009149611</v>
      </c>
      <c r="H47" s="44">
        <f t="shared" si="4"/>
        <v>43.042785788531589</v>
      </c>
      <c r="I47" s="44">
        <f t="shared" si="5"/>
        <v>49.499203656811325</v>
      </c>
      <c r="K47" s="49">
        <v>12.000000570000013</v>
      </c>
    </row>
    <row r="48" spans="2:11" hidden="1" x14ac:dyDescent="0.25">
      <c r="B48" s="51">
        <f t="shared" si="6"/>
        <v>37</v>
      </c>
      <c r="C48" s="45">
        <f>$D$3/MAX(B48:$B$71)*B48</f>
        <v>6.7833333333333332</v>
      </c>
      <c r="D48" s="53">
        <f t="shared" si="1"/>
        <v>51.521797696160036</v>
      </c>
      <c r="E48" s="53">
        <f t="shared" si="2"/>
        <v>53.713798200720021</v>
      </c>
      <c r="F48" s="53">
        <f t="shared" si="7"/>
        <v>13.615054444444443</v>
      </c>
      <c r="G48" s="45">
        <f t="shared" si="3"/>
        <v>85.054406051402069</v>
      </c>
      <c r="H48" s="44">
        <f t="shared" si="4"/>
        <v>42.42998064548312</v>
      </c>
      <c r="I48" s="44">
        <f t="shared" si="5"/>
        <v>48.794477742305581</v>
      </c>
      <c r="K48" s="49">
        <v>12.400000610000015</v>
      </c>
    </row>
    <row r="49" spans="2:11" hidden="1" x14ac:dyDescent="0.25">
      <c r="B49" s="51">
        <f t="shared" si="6"/>
        <v>38</v>
      </c>
      <c r="C49" s="45">
        <f>$D$3/MAX(B49:$B$71)*B49</f>
        <v>6.9666666666666659</v>
      </c>
      <c r="D49" s="53">
        <f t="shared" si="1"/>
        <v>51.158797289600038</v>
      </c>
      <c r="E49" s="53">
        <f t="shared" si="2"/>
        <v>52.844397883200031</v>
      </c>
      <c r="F49" s="53">
        <f t="shared" si="7"/>
        <v>13.375071111111112</v>
      </c>
      <c r="G49" s="45">
        <f t="shared" si="3"/>
        <v>83.658120295767162</v>
      </c>
      <c r="H49" s="44">
        <f t="shared" si="4"/>
        <v>41.692714889988579</v>
      </c>
      <c r="I49" s="44">
        <f t="shared" si="5"/>
        <v>47.946622123486861</v>
      </c>
      <c r="K49" s="49">
        <v>12.700000640000017</v>
      </c>
    </row>
    <row r="50" spans="2:11" hidden="1" x14ac:dyDescent="0.25">
      <c r="B50" s="51">
        <f t="shared" si="6"/>
        <v>39</v>
      </c>
      <c r="C50" s="45">
        <f>$D$3/MAX(B50:$B$71)*B50</f>
        <v>7.1499999999999995</v>
      </c>
      <c r="D50" s="53">
        <f t="shared" si="1"/>
        <v>50.602196863680057</v>
      </c>
      <c r="E50" s="53">
        <f t="shared" si="2"/>
        <v>51.823797550560045</v>
      </c>
      <c r="F50" s="53">
        <f t="shared" si="7"/>
        <v>13.10309</v>
      </c>
      <c r="G50" s="45">
        <f t="shared" si="3"/>
        <v>82.028740742244864</v>
      </c>
      <c r="H50" s="44">
        <f t="shared" si="4"/>
        <v>40.929549170032402</v>
      </c>
      <c r="I50" s="44">
        <f t="shared" si="5"/>
        <v>47.068981545537255</v>
      </c>
      <c r="K50" s="49">
        <v>13.000000670000018</v>
      </c>
    </row>
    <row r="51" spans="2:11" hidden="1" x14ac:dyDescent="0.25">
      <c r="B51" s="51">
        <f t="shared" si="6"/>
        <v>40</v>
      </c>
      <c r="C51" s="45">
        <f>$D$3/MAX(B51:$B$71)*B51</f>
        <v>7.333333333333333</v>
      </c>
      <c r="D51" s="53">
        <f t="shared" si="1"/>
        <v>49.852007066399885</v>
      </c>
      <c r="E51" s="53">
        <f t="shared" si="2"/>
        <v>50.652005518799911</v>
      </c>
      <c r="F51" s="53">
        <f t="shared" si="7"/>
        <v>12.799111111111111</v>
      </c>
      <c r="G51" s="45">
        <f t="shared" si="3"/>
        <v>80.166278451115005</v>
      </c>
      <c r="H51" s="44">
        <f t="shared" si="4"/>
        <v>40.2251291435391</v>
      </c>
      <c r="I51" s="44">
        <f t="shared" si="5"/>
        <v>46.258898515069959</v>
      </c>
      <c r="K51" s="49">
        <v>13.40000071000002</v>
      </c>
    </row>
    <row r="52" spans="2:11" hidden="1" x14ac:dyDescent="0.25">
      <c r="B52" s="51">
        <f t="shared" si="6"/>
        <v>41</v>
      </c>
      <c r="C52" s="45">
        <f>$D$3/MAX(B52:$B$71)*B52</f>
        <v>7.5166666666666657</v>
      </c>
      <c r="D52" s="53">
        <f t="shared" si="1"/>
        <v>49.198606896999891</v>
      </c>
      <c r="E52" s="53">
        <f t="shared" si="2"/>
        <v>49.555805386499912</v>
      </c>
      <c r="F52" s="53">
        <f t="shared" si="7"/>
        <v>12.463134444444446</v>
      </c>
      <c r="G52" s="45">
        <f t="shared" si="3"/>
        <v>78.372355608489343</v>
      </c>
      <c r="H52" s="44">
        <f t="shared" si="4"/>
        <v>39.396248504599747</v>
      </c>
      <c r="I52" s="44">
        <f t="shared" si="5"/>
        <v>45.305685780289707</v>
      </c>
      <c r="K52" s="49">
        <v>13.700000740000021</v>
      </c>
    </row>
    <row r="53" spans="2:11" hidden="1" x14ac:dyDescent="0.25">
      <c r="B53" s="51">
        <f t="shared" si="6"/>
        <v>42</v>
      </c>
      <c r="C53" s="45">
        <f>$D$3/MAX(B53:$B$71)*B53</f>
        <v>7.6999999999999993</v>
      </c>
      <c r="D53" s="53">
        <f t="shared" si="1"/>
        <v>48.351595527840082</v>
      </c>
      <c r="E53" s="53">
        <f t="shared" si="2"/>
        <v>48.308396507280065</v>
      </c>
      <c r="F53" s="53">
        <f t="shared" si="7"/>
        <v>12.095160000000002</v>
      </c>
      <c r="G53" s="45">
        <f t="shared" si="3"/>
        <v>76.40278205202732</v>
      </c>
      <c r="H53" s="44">
        <f t="shared" si="4"/>
        <v>38.442882137933388</v>
      </c>
      <c r="I53" s="44">
        <f t="shared" si="5"/>
        <v>44.209314458623396</v>
      </c>
      <c r="K53" s="49">
        <v>14.000000770000023</v>
      </c>
    </row>
    <row r="54" spans="2:11" hidden="1" x14ac:dyDescent="0.25">
      <c r="B54" s="51">
        <f t="shared" si="6"/>
        <v>43</v>
      </c>
      <c r="C54" s="45">
        <f>$D$3/MAX(B54:$B$71)*B54</f>
        <v>7.8833333333333329</v>
      </c>
      <c r="D54" s="53">
        <f t="shared" si="1"/>
        <v>47.068995029320092</v>
      </c>
      <c r="E54" s="53">
        <f t="shared" si="2"/>
        <v>46.720796117940068</v>
      </c>
      <c r="F54" s="53">
        <f t="shared" si="7"/>
        <v>11.695187777777779</v>
      </c>
      <c r="G54" s="45">
        <f t="shared" si="3"/>
        <v>74.296951166773511</v>
      </c>
      <c r="H54" s="44">
        <f t="shared" si="4"/>
        <v>37.114428473320046</v>
      </c>
      <c r="I54" s="44">
        <f t="shared" si="5"/>
        <v>42.681592744318053</v>
      </c>
      <c r="K54" s="49">
        <v>14.300000800000024</v>
      </c>
    </row>
    <row r="55" spans="2:11" hidden="1" x14ac:dyDescent="0.25">
      <c r="B55" s="51">
        <f t="shared" si="6"/>
        <v>44</v>
      </c>
      <c r="C55" s="45">
        <f>$D$3/MAX(B55:$B$71)*B55</f>
        <v>8.0666666666666664</v>
      </c>
      <c r="D55" s="53">
        <f t="shared" si="1"/>
        <v>45.592794511440083</v>
      </c>
      <c r="E55" s="53">
        <f t="shared" si="2"/>
        <v>44.981995713480075</v>
      </c>
      <c r="F55" s="53">
        <f t="shared" si="7"/>
        <v>11.263217777777779</v>
      </c>
      <c r="G55" s="45">
        <f t="shared" si="3"/>
        <v>71.901634477993099</v>
      </c>
      <c r="H55" s="44">
        <f t="shared" si="4"/>
        <v>35.665000463321036</v>
      </c>
      <c r="I55" s="44">
        <f t="shared" si="5"/>
        <v>41.014750532819185</v>
      </c>
      <c r="K55" s="49">
        <v>14.700000840000026</v>
      </c>
    </row>
    <row r="56" spans="2:11" hidden="1" x14ac:dyDescent="0.25">
      <c r="B56" s="51">
        <f t="shared" si="6"/>
        <v>45</v>
      </c>
      <c r="C56" s="45">
        <f>$D$3/MAX(B56:$B$71)*B56</f>
        <v>8.25</v>
      </c>
      <c r="D56" s="53">
        <f t="shared" si="1"/>
        <v>43.923005953199905</v>
      </c>
      <c r="E56" s="53">
        <f t="shared" si="2"/>
        <v>43.092004649399925</v>
      </c>
      <c r="F56" s="53">
        <f t="shared" si="7"/>
        <v>10.799249999999999</v>
      </c>
      <c r="G56" s="45">
        <f t="shared" si="3"/>
        <v>69.216847917755871</v>
      </c>
      <c r="H56" s="44">
        <f t="shared" si="4"/>
        <v>34.369392527708939</v>
      </c>
      <c r="I56" s="44">
        <f t="shared" si="5"/>
        <v>39.524801406865279</v>
      </c>
      <c r="K56" s="49">
        <v>15.000000870000028</v>
      </c>
    </row>
    <row r="57" spans="2:11" hidden="1" x14ac:dyDescent="0.25">
      <c r="B57" s="51">
        <f t="shared" si="6"/>
        <v>46</v>
      </c>
      <c r="C57" s="45">
        <f>$D$3/MAX(B57:$B$71)*B57</f>
        <v>8.4333333333333336</v>
      </c>
      <c r="D57" s="53">
        <f t="shared" si="1"/>
        <v>42.350005691839911</v>
      </c>
      <c r="E57" s="53">
        <f t="shared" si="2"/>
        <v>41.277604445279934</v>
      </c>
      <c r="F57" s="53">
        <f t="shared" si="7"/>
        <v>10.303284444444444</v>
      </c>
      <c r="G57" s="45">
        <f t="shared" si="3"/>
        <v>66.628792014591525</v>
      </c>
      <c r="H57" s="44">
        <f t="shared" si="4"/>
        <v>32.949323979650785</v>
      </c>
      <c r="I57" s="44">
        <f t="shared" si="5"/>
        <v>37.891722576598397</v>
      </c>
      <c r="K57" s="49">
        <v>15.300000900000029</v>
      </c>
    </row>
    <row r="58" spans="2:11" hidden="1" x14ac:dyDescent="0.25">
      <c r="B58" s="51">
        <f t="shared" si="6"/>
        <v>47</v>
      </c>
      <c r="C58" s="45">
        <f>$D$3/MAX(B58:$B$71)*B58</f>
        <v>8.6166666666666654</v>
      </c>
      <c r="D58" s="53">
        <f t="shared" si="1"/>
        <v>40.583406087509942</v>
      </c>
      <c r="E58" s="53">
        <f t="shared" si="2"/>
        <v>39.312004226039967</v>
      </c>
      <c r="F58" s="53">
        <f t="shared" si="7"/>
        <v>9.7753211111111149</v>
      </c>
      <c r="G58" s="45">
        <f t="shared" si="3"/>
        <v>63.751251207499337</v>
      </c>
      <c r="H58" s="44">
        <f t="shared" si="4"/>
        <v>31.404794819146584</v>
      </c>
      <c r="I58" s="44">
        <f t="shared" si="5"/>
        <v>36.115514042018567</v>
      </c>
      <c r="K58" s="49">
        <v>15.700000940000031</v>
      </c>
    </row>
    <row r="59" spans="2:11" hidden="1" x14ac:dyDescent="0.25">
      <c r="B59" s="51">
        <f t="shared" si="6"/>
        <v>48</v>
      </c>
      <c r="C59" s="45">
        <f>$D$3/MAX(B59:$B$71)*B59</f>
        <v>8.7999999999999989</v>
      </c>
      <c r="D59" s="53">
        <f t="shared" si="1"/>
        <v>38.768392972320079</v>
      </c>
      <c r="E59" s="53">
        <f t="shared" si="2"/>
        <v>37.195194012480073</v>
      </c>
      <c r="F59" s="53">
        <f t="shared" si="7"/>
        <v>9.215360000000004</v>
      </c>
      <c r="G59" s="45">
        <f t="shared" si="3"/>
        <v>60.777322653185713</v>
      </c>
      <c r="H59" s="44">
        <f t="shared" si="4"/>
        <v>29.735778276615086</v>
      </c>
      <c r="I59" s="44">
        <f t="shared" si="5"/>
        <v>34.196145018107345</v>
      </c>
      <c r="K59" s="49">
        <v>24.600001830000227</v>
      </c>
    </row>
    <row r="60" spans="2:11" hidden="1" x14ac:dyDescent="0.25">
      <c r="B60" s="51">
        <f t="shared" si="6"/>
        <v>49</v>
      </c>
      <c r="C60" s="45">
        <f>$D$3/MAX(B60:$B$71)*B60</f>
        <v>8.9833333333333325</v>
      </c>
      <c r="D60" s="53">
        <f t="shared" si="1"/>
        <v>36.493592322550079</v>
      </c>
      <c r="E60" s="53">
        <f t="shared" si="2"/>
        <v>34.738193536200065</v>
      </c>
      <c r="F60" s="53">
        <f t="shared" si="7"/>
        <v>8.6234011111111126</v>
      </c>
      <c r="G60" s="45">
        <f t="shared" si="3"/>
        <v>57.159878900102719</v>
      </c>
      <c r="H60" s="44">
        <f t="shared" si="4"/>
        <v>27.691676090436879</v>
      </c>
      <c r="I60" s="44">
        <f t="shared" si="5"/>
        <v>31.845427504002409</v>
      </c>
      <c r="K60" s="49">
        <v>24.900001860000234</v>
      </c>
    </row>
    <row r="61" spans="2:11" hidden="1" x14ac:dyDescent="0.25">
      <c r="B61" s="51">
        <f t="shared" si="6"/>
        <v>50</v>
      </c>
      <c r="C61" s="45">
        <f>$D$3/MAX(B61:$B$71)*B61</f>
        <v>9.1666666666666661</v>
      </c>
      <c r="D61" s="53">
        <f t="shared" si="1"/>
        <v>34.000991651000071</v>
      </c>
      <c r="E61" s="53">
        <f t="shared" si="2"/>
        <v>32.130003439799978</v>
      </c>
      <c r="F61" s="53">
        <f t="shared" si="7"/>
        <v>7.999444444444447</v>
      </c>
      <c r="G61" s="45">
        <f t="shared" si="3"/>
        <v>53.220763340274544</v>
      </c>
      <c r="H61" s="44">
        <f t="shared" si="4"/>
        <v>25.713292131842383</v>
      </c>
      <c r="I61" s="44">
        <f t="shared" si="5"/>
        <v>29.57028595161874</v>
      </c>
      <c r="K61" s="49">
        <v>25.200001890000241</v>
      </c>
    </row>
    <row r="62" spans="2:11" hidden="1" x14ac:dyDescent="0.25">
      <c r="B62" s="51">
        <f t="shared" si="6"/>
        <v>51</v>
      </c>
      <c r="C62" s="45">
        <f>$D$3/MAX(B62:$B$71)*B62</f>
        <v>9.35</v>
      </c>
      <c r="D62" s="53">
        <f t="shared" si="1"/>
        <v>31.526554557464969</v>
      </c>
      <c r="E62" s="53">
        <f t="shared" si="2"/>
        <v>29.59740316385998</v>
      </c>
      <c r="F62" s="53">
        <f t="shared" si="7"/>
        <v>7.343490000000001</v>
      </c>
      <c r="G62" s="45">
        <f t="shared" si="3"/>
        <v>49.273807561428413</v>
      </c>
      <c r="H62" s="44">
        <f t="shared" si="4"/>
        <v>23.702035674665424</v>
      </c>
      <c r="I62" s="44">
        <f t="shared" si="5"/>
        <v>27.257341025865237</v>
      </c>
      <c r="K62" s="49">
        <v>25.60000193000025</v>
      </c>
    </row>
    <row r="63" spans="2:11" hidden="1" x14ac:dyDescent="0.25">
      <c r="B63" s="51">
        <f t="shared" si="6"/>
        <v>52</v>
      </c>
      <c r="C63" s="45">
        <f>$D$3/MAX(B63:$B$71)*B63</f>
        <v>9.5333333333333332</v>
      </c>
      <c r="D63" s="53">
        <f t="shared" si="1"/>
        <v>28.894804138199969</v>
      </c>
      <c r="E63" s="53">
        <f t="shared" si="2"/>
        <v>26.913602872799984</v>
      </c>
      <c r="F63" s="53">
        <f t="shared" si="7"/>
        <v>6.6555377777777771</v>
      </c>
      <c r="G63" s="45">
        <f t="shared" si="3"/>
        <v>45.08562728158374</v>
      </c>
      <c r="H63" s="44">
        <f t="shared" si="4"/>
        <v>21.566318605042401</v>
      </c>
      <c r="I63" s="44">
        <f t="shared" si="5"/>
        <v>24.801266395798759</v>
      </c>
      <c r="K63" s="49">
        <v>25.900001960000257</v>
      </c>
    </row>
    <row r="64" spans="2:11" hidden="1" x14ac:dyDescent="0.25">
      <c r="B64" s="51">
        <f t="shared" si="6"/>
        <v>53</v>
      </c>
      <c r="C64" s="45">
        <f>$D$3/MAX(B64:$B$71)*B64</f>
        <v>9.7166666666666668</v>
      </c>
      <c r="D64" s="53">
        <f t="shared" si="1"/>
        <v>26.045253697154976</v>
      </c>
      <c r="E64" s="53">
        <f t="shared" si="2"/>
        <v>24.078602566619985</v>
      </c>
      <c r="F64" s="53">
        <f t="shared" si="7"/>
        <v>5.9355877777777772</v>
      </c>
      <c r="G64" s="45">
        <f t="shared" si="3"/>
        <v>40.575775194993895</v>
      </c>
      <c r="H64" s="44">
        <f t="shared" si="4"/>
        <v>19.30614092297332</v>
      </c>
      <c r="I64" s="44">
        <f t="shared" si="5"/>
        <v>22.202062061419316</v>
      </c>
      <c r="K64" s="49">
        <v>26.200001990000263</v>
      </c>
    </row>
    <row r="65" spans="2:11" hidden="1" x14ac:dyDescent="0.25">
      <c r="B65" s="51">
        <f t="shared" si="6"/>
        <v>54</v>
      </c>
      <c r="C65" s="45">
        <f>$D$3/MAX(B65:$B$71)*B65</f>
        <v>9.8999999999999986</v>
      </c>
      <c r="D65" s="53">
        <f t="shared" si="1"/>
        <v>22.977888859530065</v>
      </c>
      <c r="E65" s="53">
        <f t="shared" si="2"/>
        <v>21.092391018720054</v>
      </c>
      <c r="F65" s="53">
        <f t="shared" si="7"/>
        <v>5.1836400000000058</v>
      </c>
      <c r="G65" s="45">
        <f t="shared" si="3"/>
        <v>35.744232183174994</v>
      </c>
      <c r="H65" s="44">
        <f t="shared" si="4"/>
        <v>16.921474204576707</v>
      </c>
      <c r="I65" s="44">
        <f t="shared" si="5"/>
        <v>19.459695335263213</v>
      </c>
      <c r="K65" s="49">
        <v>26.600002030000272</v>
      </c>
    </row>
    <row r="66" spans="2:11" hidden="1" x14ac:dyDescent="0.25">
      <c r="B66" s="51">
        <f t="shared" si="6"/>
        <v>55</v>
      </c>
      <c r="C66" s="45">
        <f>$D$3/MAX(B66:$B$71)*B66</f>
        <v>10.083333333333332</v>
      </c>
      <c r="D66" s="53">
        <f t="shared" si="1"/>
        <v>19.450738084525053</v>
      </c>
      <c r="E66" s="53">
        <f t="shared" si="2"/>
        <v>17.766001890000016</v>
      </c>
      <c r="F66" s="53">
        <f t="shared" si="7"/>
        <v>4.3996944444444495</v>
      </c>
      <c r="G66" s="45">
        <f t="shared" si="3"/>
        <v>30.269176096862772</v>
      </c>
      <c r="H66" s="44">
        <f t="shared" si="4"/>
        <v>14.256827955939412</v>
      </c>
      <c r="I66" s="44">
        <f t="shared" si="5"/>
        <v>16.395352149330321</v>
      </c>
      <c r="K66" s="49">
        <v>26.900002060000279</v>
      </c>
    </row>
    <row r="67" spans="2:11" hidden="1" x14ac:dyDescent="0.25">
      <c r="B67" s="51">
        <f t="shared" si="6"/>
        <v>56</v>
      </c>
      <c r="C67" s="45">
        <f>$D$3/MAX(B67:$B$71)*B67</f>
        <v>10.266666666666666</v>
      </c>
      <c r="D67" s="53">
        <f t="shared" si="1"/>
        <v>15.972002221560011</v>
      </c>
      <c r="E67" s="53">
        <f t="shared" si="2"/>
        <v>14.515201542240014</v>
      </c>
      <c r="F67" s="53">
        <f t="shared" si="7"/>
        <v>3.5837511111111149</v>
      </c>
      <c r="G67" s="45">
        <f t="shared" si="3"/>
        <v>24.826514065785933</v>
      </c>
      <c r="H67" s="44">
        <f t="shared" si="4"/>
        <v>11.654383589643656</v>
      </c>
      <c r="I67" s="44">
        <f t="shared" si="5"/>
        <v>13.402541128090203</v>
      </c>
      <c r="K67" s="49">
        <v>27.200002090000286</v>
      </c>
    </row>
    <row r="68" spans="2:11" hidden="1" x14ac:dyDescent="0.25">
      <c r="B68" s="51">
        <f t="shared" si="6"/>
        <v>57</v>
      </c>
      <c r="C68" s="45">
        <f>$D$3/MAX(B68:$B$71)*B68</f>
        <v>10.45</v>
      </c>
      <c r="D68" s="53">
        <f t="shared" si="1"/>
        <v>12.305701698840013</v>
      </c>
      <c r="E68" s="53">
        <f t="shared" si="2"/>
        <v>11.113201179360011</v>
      </c>
      <c r="F68" s="53">
        <f t="shared" si="7"/>
        <v>2.7358100000000034</v>
      </c>
      <c r="G68" s="45">
        <f t="shared" si="3"/>
        <v>19.102393259457223</v>
      </c>
      <c r="H68" s="44">
        <f t="shared" si="4"/>
        <v>8.9274786109018347</v>
      </c>
      <c r="I68" s="44">
        <f t="shared" si="5"/>
        <v>10.26660040253711</v>
      </c>
      <c r="K68" s="49">
        <v>27.600002130000295</v>
      </c>
    </row>
    <row r="69" spans="2:11" hidden="1" x14ac:dyDescent="0.25">
      <c r="B69" s="51">
        <f t="shared" si="6"/>
        <v>58</v>
      </c>
      <c r="C69" s="45">
        <f>$D$3/MAX(B69:$B$71)*B69</f>
        <v>10.633333333333333</v>
      </c>
      <c r="D69" s="53">
        <f t="shared" si="1"/>
        <v>8.42160115434001</v>
      </c>
      <c r="E69" s="53">
        <f t="shared" si="2"/>
        <v>7.56000080136001</v>
      </c>
      <c r="F69" s="53">
        <f t="shared" si="7"/>
        <v>1.8558711111111132</v>
      </c>
      <c r="G69" s="45">
        <f t="shared" si="3"/>
        <v>13.056600646383327</v>
      </c>
      <c r="H69" s="44">
        <f t="shared" si="4"/>
        <v>6.1158976627623662</v>
      </c>
      <c r="I69" s="44">
        <f t="shared" si="5"/>
        <v>7.0332823121767207</v>
      </c>
      <c r="K69" s="49">
        <v>27.900002160000302</v>
      </c>
    </row>
    <row r="70" spans="2:11" hidden="1" x14ac:dyDescent="0.25">
      <c r="B70" s="51">
        <f t="shared" si="6"/>
        <v>59</v>
      </c>
      <c r="C70" s="45">
        <f>$D$3/MAX(B70:$B$71)*B70</f>
        <v>10.816666666666666</v>
      </c>
      <c r="D70" s="53">
        <f t="shared" si="1"/>
        <v>4.3197005880600052</v>
      </c>
      <c r="E70" s="53">
        <f t="shared" si="2"/>
        <v>3.8556004082400053</v>
      </c>
      <c r="F70" s="53">
        <f t="shared" si="7"/>
        <v>0.94393444444444563</v>
      </c>
      <c r="G70" s="45">
        <f t="shared" si="3"/>
        <v>6.6891362265642522</v>
      </c>
      <c r="H70" s="44">
        <f t="shared" si="4"/>
        <v>3.1582094414072435</v>
      </c>
      <c r="I70" s="44">
        <f t="shared" si="5"/>
        <v>3.6319408576183299</v>
      </c>
      <c r="K70" s="49">
        <v>28.200002190000308</v>
      </c>
    </row>
    <row r="71" spans="2:11" hidden="1" x14ac:dyDescent="0.25">
      <c r="B71" s="51">
        <f t="shared" si="6"/>
        <v>60</v>
      </c>
      <c r="C71" s="45">
        <f>$D$3/MAX(B71:$B$71)*B71</f>
        <v>11</v>
      </c>
      <c r="D71" s="53">
        <f t="shared" si="1"/>
        <v>0</v>
      </c>
      <c r="E71" s="53">
        <f t="shared" si="2"/>
        <v>0</v>
      </c>
      <c r="F71" s="53">
        <f t="shared" si="7"/>
        <v>0</v>
      </c>
      <c r="G71" s="45">
        <f t="shared" si="3"/>
        <v>0</v>
      </c>
      <c r="H71" s="44">
        <f t="shared" si="4"/>
        <v>0</v>
      </c>
      <c r="I71" s="44">
        <f t="shared" si="5"/>
        <v>0</v>
      </c>
    </row>
    <row r="72" spans="2:11" x14ac:dyDescent="0.25">
      <c r="B72" s="51"/>
      <c r="C72" s="45"/>
      <c r="D72" s="45">
        <f>MAX(D11:D71)</f>
        <v>52.090503172619975</v>
      </c>
      <c r="E72" s="45">
        <f>MAX(E11:E71)</f>
        <v>55.717200476279999</v>
      </c>
      <c r="F72" s="53"/>
      <c r="G72" s="53">
        <f>MAX(G11:G71)</f>
        <v>88.486877437892119</v>
      </c>
      <c r="H72" s="51"/>
      <c r="I72" s="44">
        <f>MAX(I11:I71)</f>
        <v>50.18408249796493</v>
      </c>
    </row>
    <row r="73" spans="2:11" x14ac:dyDescent="0.25">
      <c r="E73" s="58">
        <f>E72*1.33</f>
        <v>74.103876633452401</v>
      </c>
      <c r="G73" s="49">
        <f>'influencia corte (2)'!G68</f>
        <v>37.363136341300034</v>
      </c>
    </row>
    <row r="75" spans="2:11" x14ac:dyDescent="0.25">
      <c r="E75" s="58">
        <f>24*1.33+3.33</f>
        <v>35.25</v>
      </c>
    </row>
  </sheetData>
  <pageMargins left="0.7" right="0.7" top="0.75" bottom="0.75" header="0.3" footer="0.3"/>
  <pageSetup scale="64" orientation="portrait" r:id="rId1"/>
  <rowBreaks count="1" manualBreakCount="1">
    <brk id="74" min="1" max="7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3"/>
  <dimension ref="B1:O71"/>
  <sheetViews>
    <sheetView showGridLines="0" tabSelected="1" zoomScaleNormal="100" workbookViewId="0">
      <selection activeCell="P20" sqref="P20"/>
    </sheetView>
  </sheetViews>
  <sheetFormatPr defaultColWidth="11.42578125" defaultRowHeight="15" x14ac:dyDescent="0.25"/>
  <cols>
    <col min="1" max="1" width="17.7109375" style="22" customWidth="1"/>
    <col min="2" max="2" width="6.28515625" style="22" bestFit="1" customWidth="1"/>
    <col min="3" max="3" width="15.28515625" style="22" bestFit="1" customWidth="1"/>
    <col min="4" max="4" width="10.42578125" style="22" bestFit="1" customWidth="1"/>
    <col min="5" max="5" width="12.42578125" style="22" customWidth="1"/>
    <col min="6" max="6" width="7.7109375" style="22" bestFit="1" customWidth="1"/>
    <col min="7" max="7" width="12" style="22" bestFit="1" customWidth="1"/>
    <col min="8" max="8" width="11.5703125" style="22" bestFit="1" customWidth="1"/>
    <col min="9" max="10" width="7.85546875" style="22" bestFit="1" customWidth="1"/>
    <col min="11" max="11" width="13" style="22" bestFit="1" customWidth="1"/>
    <col min="12" max="12" width="12.5703125" style="22" bestFit="1" customWidth="1"/>
    <col min="13" max="13" width="13.140625" style="25" customWidth="1"/>
    <col min="14" max="16384" width="11.42578125" style="22"/>
  </cols>
  <sheetData>
    <row r="1" spans="2:13" s="19" customFormat="1" ht="23.25" x14ac:dyDescent="0.35">
      <c r="B1" s="39" t="s">
        <v>175</v>
      </c>
      <c r="M1" s="1"/>
    </row>
    <row r="2" spans="2:13" x14ac:dyDescent="0.25">
      <c r="C2" s="22" t="s">
        <v>144</v>
      </c>
      <c r="D2" s="25">
        <f>'influencia momentos'!D3</f>
        <v>11</v>
      </c>
      <c r="E2" s="22" t="s">
        <v>140</v>
      </c>
    </row>
    <row r="3" spans="2:13" x14ac:dyDescent="0.25">
      <c r="C3" s="22" t="s">
        <v>145</v>
      </c>
      <c r="D3" s="25">
        <f>'influencia momentos'!D4</f>
        <v>3.63</v>
      </c>
      <c r="E3" s="22" t="s">
        <v>167</v>
      </c>
    </row>
    <row r="4" spans="2:13" x14ac:dyDescent="0.25">
      <c r="C4" s="22" t="s">
        <v>146</v>
      </c>
      <c r="D4" s="25">
        <f>'influencia momentos'!D5</f>
        <v>14.52</v>
      </c>
      <c r="E4" s="22" t="s">
        <v>167</v>
      </c>
    </row>
    <row r="5" spans="2:13" x14ac:dyDescent="0.25">
      <c r="C5" s="22" t="s">
        <v>147</v>
      </c>
      <c r="D5" s="25">
        <f>'influencia momentos'!D6</f>
        <v>0.95199999999999996</v>
      </c>
      <c r="E5" s="22" t="s">
        <v>168</v>
      </c>
    </row>
    <row r="6" spans="2:13" x14ac:dyDescent="0.25">
      <c r="B6" s="40" t="s">
        <v>148</v>
      </c>
      <c r="C6" s="40" t="s">
        <v>149</v>
      </c>
      <c r="D6" s="40" t="s">
        <v>155</v>
      </c>
      <c r="E6" s="40" t="s">
        <v>154</v>
      </c>
      <c r="F6" s="40" t="s">
        <v>141</v>
      </c>
      <c r="G6" s="40" t="s">
        <v>152</v>
      </c>
      <c r="H6" s="40" t="s">
        <v>153</v>
      </c>
      <c r="I6" s="40" t="s">
        <v>169</v>
      </c>
      <c r="J6" s="40" t="s">
        <v>170</v>
      </c>
      <c r="K6" s="40" t="s">
        <v>171</v>
      </c>
      <c r="L6" s="40" t="s">
        <v>172</v>
      </c>
      <c r="M6" s="56" t="s">
        <v>178</v>
      </c>
    </row>
    <row r="7" spans="2:13" x14ac:dyDescent="0.25">
      <c r="B7" s="40">
        <v>0</v>
      </c>
      <c r="C7" s="42">
        <f>$D$2/MAX(B7:$B$67)*B7</f>
        <v>0</v>
      </c>
      <c r="D7" s="42">
        <f>CorteMax($D$2,$D$3,$C7)</f>
        <v>24.155741610000028</v>
      </c>
      <c r="E7" s="41">
        <f>CorteMin($D$2,$D$3,$C7)</f>
        <v>0</v>
      </c>
      <c r="F7" s="54">
        <f>$D$2*$D$5/2-$D$5*$C7</f>
        <v>5.2359999999999998</v>
      </c>
      <c r="G7" s="41">
        <f t="shared" ref="G7:G67" si="0">D7*1.33+F7</f>
        <v>37.363136341300034</v>
      </c>
      <c r="H7" s="41">
        <f>E7*1.33+F7</f>
        <v>5.2359999999999998</v>
      </c>
      <c r="I7" s="41">
        <f>CorteMaxFat($D$2,$D$3,$C7)</f>
        <v>24.011987423160171</v>
      </c>
      <c r="J7" s="41">
        <f>CorteMinFat($D$2,$D$3,$C7)</f>
        <v>0</v>
      </c>
      <c r="K7" s="41">
        <f>+I7*1.15</f>
        <v>27.613785536634193</v>
      </c>
      <c r="L7" s="41">
        <f>+J7*1.15</f>
        <v>0</v>
      </c>
      <c r="M7" s="54">
        <f>K7-L7</f>
        <v>27.613785536634193</v>
      </c>
    </row>
    <row r="8" spans="2:13" x14ac:dyDescent="0.25">
      <c r="B8" s="40">
        <v>1</v>
      </c>
      <c r="C8" s="42">
        <f>$D$2/MAX(B8:$B$67)*B8</f>
        <v>0.18333333333333332</v>
      </c>
      <c r="D8" s="42">
        <f t="shared" ref="D8:D67" si="1">CorteMax($D$2,$D$3,$C8)</f>
        <v>23.561735670000036</v>
      </c>
      <c r="E8" s="41">
        <f t="shared" ref="E8:E67" si="2">CorteMin($D$2,$D$3,$C8)</f>
        <v>-3.3000660000000001E-2</v>
      </c>
      <c r="F8" s="41">
        <f t="shared" ref="F8:F67" si="3">$D$2*$D$5/2-$D$5*$C8</f>
        <v>5.0614666666666661</v>
      </c>
      <c r="G8" s="41">
        <f t="shared" si="0"/>
        <v>36.398575107766717</v>
      </c>
      <c r="H8" s="41">
        <f t="shared" ref="H8:H67" si="4">E8*1.33+F8</f>
        <v>5.0175757888666661</v>
      </c>
      <c r="I8" s="41">
        <f t="shared" ref="I8:I68" si="5">CorteMaxFat($D$2,$D$3,$C8)</f>
        <v>23.469329996640177</v>
      </c>
      <c r="J8" s="41">
        <f t="shared" ref="J8:J68" si="6">CorteMinFat($D$2,$D$3,$C8)</f>
        <v>-3.3000660000000001E-2</v>
      </c>
      <c r="K8" s="41">
        <f t="shared" ref="K8:L67" si="7">+I8*1.15</f>
        <v>26.989729496136203</v>
      </c>
      <c r="L8" s="41">
        <f t="shared" si="7"/>
        <v>-3.7950759000000001E-2</v>
      </c>
      <c r="M8" s="54">
        <f t="shared" ref="M8:M67" si="8">K8-L8</f>
        <v>27.027680255136204</v>
      </c>
    </row>
    <row r="9" spans="2:13" x14ac:dyDescent="0.25">
      <c r="B9" s="40">
        <f>+B8+1</f>
        <v>2</v>
      </c>
      <c r="C9" s="42">
        <f>$D$2/MAX(B9:$B$67)*B9</f>
        <v>0.36666666666666664</v>
      </c>
      <c r="D9" s="41">
        <f t="shared" si="1"/>
        <v>22.967729730000045</v>
      </c>
      <c r="E9" s="41">
        <f t="shared" si="2"/>
        <v>-9.900131999999999E-2</v>
      </c>
      <c r="F9" s="41">
        <f t="shared" si="3"/>
        <v>4.8869333333333334</v>
      </c>
      <c r="G9" s="41">
        <f t="shared" si="0"/>
        <v>35.434013874233393</v>
      </c>
      <c r="H9" s="41">
        <f t="shared" si="4"/>
        <v>4.7552615777333331</v>
      </c>
      <c r="I9" s="41">
        <f t="shared" si="5"/>
        <v>22.926672570120179</v>
      </c>
      <c r="J9" s="41">
        <f t="shared" si="6"/>
        <v>-9.900131999999999E-2</v>
      </c>
      <c r="K9" s="41">
        <f t="shared" si="7"/>
        <v>26.365673455638202</v>
      </c>
      <c r="L9" s="41">
        <f t="shared" si="7"/>
        <v>-0.11385151799999998</v>
      </c>
      <c r="M9" s="54">
        <f t="shared" si="8"/>
        <v>26.479524973638203</v>
      </c>
    </row>
    <row r="10" spans="2:13" x14ac:dyDescent="0.25">
      <c r="B10" s="40">
        <f t="shared" ref="B10:B67" si="9">+B9+1</f>
        <v>3</v>
      </c>
      <c r="C10" s="42">
        <f>$D$2/MAX(B10:$B$67)*B10</f>
        <v>0.54999999999999993</v>
      </c>
      <c r="D10" s="41">
        <f t="shared" si="1"/>
        <v>22.373723790000049</v>
      </c>
      <c r="E10" s="41">
        <f t="shared" si="2"/>
        <v>-0.16500198000000002</v>
      </c>
      <c r="F10" s="41">
        <f t="shared" si="3"/>
        <v>4.7123999999999997</v>
      </c>
      <c r="G10" s="41">
        <f t="shared" si="0"/>
        <v>34.469452640700069</v>
      </c>
      <c r="H10" s="41">
        <f t="shared" si="4"/>
        <v>4.4929473665999993</v>
      </c>
      <c r="I10" s="41">
        <f t="shared" si="5"/>
        <v>22.384015143600188</v>
      </c>
      <c r="J10" s="41">
        <f t="shared" si="6"/>
        <v>-0.18347691647996567</v>
      </c>
      <c r="K10" s="41">
        <f t="shared" si="7"/>
        <v>25.741617415140215</v>
      </c>
      <c r="L10" s="41">
        <f t="shared" si="7"/>
        <v>-0.21099845395196051</v>
      </c>
      <c r="M10" s="54">
        <f t="shared" si="8"/>
        <v>25.952615869092178</v>
      </c>
    </row>
    <row r="11" spans="2:13" x14ac:dyDescent="0.25">
      <c r="B11" s="40">
        <f t="shared" si="9"/>
        <v>4</v>
      </c>
      <c r="C11" s="42">
        <f>$D$2/MAX(B11:$B$67)*B11</f>
        <v>0.73333333333333328</v>
      </c>
      <c r="D11" s="41">
        <f t="shared" si="1"/>
        <v>21.779717850000054</v>
      </c>
      <c r="E11" s="41">
        <f t="shared" si="2"/>
        <v>-0.23100264000000001</v>
      </c>
      <c r="F11" s="41">
        <f t="shared" si="3"/>
        <v>4.537866666666666</v>
      </c>
      <c r="G11" s="41">
        <f t="shared" si="0"/>
        <v>33.504891407166738</v>
      </c>
      <c r="H11" s="41">
        <f t="shared" si="4"/>
        <v>4.2306331554666663</v>
      </c>
      <c r="I11" s="41">
        <f t="shared" si="5"/>
        <v>21.841357717080193</v>
      </c>
      <c r="J11" s="41">
        <f t="shared" si="6"/>
        <v>-0.5208062897399619</v>
      </c>
      <c r="K11" s="41">
        <f t="shared" si="7"/>
        <v>25.117561374642221</v>
      </c>
      <c r="L11" s="41">
        <f t="shared" si="7"/>
        <v>-0.59892723320095609</v>
      </c>
      <c r="M11" s="54">
        <f t="shared" si="8"/>
        <v>25.716488607843178</v>
      </c>
    </row>
    <row r="12" spans="2:13" x14ac:dyDescent="0.25">
      <c r="B12" s="40">
        <f t="shared" si="9"/>
        <v>5</v>
      </c>
      <c r="C12" s="42">
        <f>$D$2/MAX(B12:$B$67)*B12</f>
        <v>0.91666666666666663</v>
      </c>
      <c r="D12" s="41">
        <f t="shared" si="1"/>
        <v>21.185711910000059</v>
      </c>
      <c r="E12" s="41">
        <f t="shared" si="2"/>
        <v>-0.29700330000000003</v>
      </c>
      <c r="F12" s="41">
        <f t="shared" si="3"/>
        <v>4.3633333333333333</v>
      </c>
      <c r="G12" s="41">
        <f t="shared" si="0"/>
        <v>32.540330173633414</v>
      </c>
      <c r="H12" s="41">
        <f t="shared" si="4"/>
        <v>3.9683189443333333</v>
      </c>
      <c r="I12" s="41">
        <f t="shared" si="5"/>
        <v>21.298700290560198</v>
      </c>
      <c r="J12" s="41">
        <f t="shared" si="6"/>
        <v>-0.85813566299995814</v>
      </c>
      <c r="K12" s="41">
        <f t="shared" si="7"/>
        <v>24.493505334144228</v>
      </c>
      <c r="L12" s="41">
        <f t="shared" si="7"/>
        <v>-0.9868560124499518</v>
      </c>
      <c r="M12" s="54">
        <f t="shared" si="8"/>
        <v>25.480361346594179</v>
      </c>
    </row>
    <row r="13" spans="2:13" x14ac:dyDescent="0.25">
      <c r="B13" s="40">
        <f t="shared" si="9"/>
        <v>6</v>
      </c>
      <c r="C13" s="42">
        <f>$D$2/MAX(B13:$B$67)*B13</f>
        <v>1.0999999999999999</v>
      </c>
      <c r="D13" s="41">
        <f t="shared" si="1"/>
        <v>20.888708940000065</v>
      </c>
      <c r="E13" s="41">
        <f t="shared" si="2"/>
        <v>-0.33000362999999999</v>
      </c>
      <c r="F13" s="41">
        <f t="shared" si="3"/>
        <v>4.1887999999999996</v>
      </c>
      <c r="G13" s="41">
        <f t="shared" si="0"/>
        <v>31.970782890200088</v>
      </c>
      <c r="H13" s="41">
        <f t="shared" si="4"/>
        <v>3.7498951720999996</v>
      </c>
      <c r="I13" s="41">
        <f t="shared" si="5"/>
        <v>21.027371577300201</v>
      </c>
      <c r="J13" s="41">
        <f t="shared" si="6"/>
        <v>-1.0268003496299563</v>
      </c>
      <c r="K13" s="41">
        <f t="shared" si="7"/>
        <v>24.181477313895229</v>
      </c>
      <c r="L13" s="41">
        <f t="shared" si="7"/>
        <v>-1.1808204020744495</v>
      </c>
      <c r="M13" s="54">
        <f t="shared" si="8"/>
        <v>25.362297715969678</v>
      </c>
    </row>
    <row r="14" spans="2:13" x14ac:dyDescent="0.25">
      <c r="B14" s="40">
        <f t="shared" si="9"/>
        <v>7</v>
      </c>
      <c r="C14" s="42">
        <f>$D$2/MAX(B14:$B$67)*B14</f>
        <v>1.2833333333333332</v>
      </c>
      <c r="D14" s="41">
        <f t="shared" si="1"/>
        <v>20.294703000000073</v>
      </c>
      <c r="E14" s="41">
        <f t="shared" si="2"/>
        <v>-0.39600428999999998</v>
      </c>
      <c r="F14" s="41">
        <f t="shared" si="3"/>
        <v>4.0142666666666669</v>
      </c>
      <c r="G14" s="41">
        <f t="shared" si="0"/>
        <v>31.006221656666767</v>
      </c>
      <c r="H14" s="41">
        <f t="shared" si="4"/>
        <v>3.487580960966667</v>
      </c>
      <c r="I14" s="41">
        <f t="shared" si="5"/>
        <v>20.484714150780206</v>
      </c>
      <c r="J14" s="41">
        <f t="shared" si="6"/>
        <v>-1.3641297228899527</v>
      </c>
      <c r="K14" s="41">
        <f t="shared" si="7"/>
        <v>23.557421273397235</v>
      </c>
      <c r="L14" s="41">
        <f t="shared" si="7"/>
        <v>-1.5687491813234455</v>
      </c>
      <c r="M14" s="54">
        <f t="shared" si="8"/>
        <v>25.126170454720679</v>
      </c>
    </row>
    <row r="15" spans="2:13" x14ac:dyDescent="0.25">
      <c r="B15" s="40">
        <f t="shared" si="9"/>
        <v>8</v>
      </c>
      <c r="C15" s="42">
        <f>$D$2/MAX(B15:$B$67)*B15</f>
        <v>1.4666666666666666</v>
      </c>
      <c r="D15" s="41">
        <f t="shared" si="1"/>
        <v>19.700697060000078</v>
      </c>
      <c r="E15" s="41">
        <f t="shared" si="2"/>
        <v>-0.46200495000000003</v>
      </c>
      <c r="F15" s="41">
        <f t="shared" si="3"/>
        <v>3.8397333333333332</v>
      </c>
      <c r="G15" s="41">
        <f t="shared" si="0"/>
        <v>30.041660423133436</v>
      </c>
      <c r="H15" s="41">
        <f t="shared" si="4"/>
        <v>3.2252667498333332</v>
      </c>
      <c r="I15" s="41">
        <f t="shared" si="5"/>
        <v>19.942056724260212</v>
      </c>
      <c r="J15" s="41">
        <f t="shared" si="6"/>
        <v>-1.7014590961499489</v>
      </c>
      <c r="K15" s="41">
        <f t="shared" si="7"/>
        <v>22.933365232899241</v>
      </c>
      <c r="L15" s="41">
        <f t="shared" si="7"/>
        <v>-1.9566779605724411</v>
      </c>
      <c r="M15" s="54">
        <f t="shared" si="8"/>
        <v>24.890043193471683</v>
      </c>
    </row>
    <row r="16" spans="2:13" x14ac:dyDescent="0.25">
      <c r="B16" s="40">
        <f t="shared" si="9"/>
        <v>9</v>
      </c>
      <c r="C16" s="42">
        <f>$D$2/MAX(B16:$B$67)*B16</f>
        <v>1.65</v>
      </c>
      <c r="D16" s="41">
        <f t="shared" si="1"/>
        <v>19.106691120000086</v>
      </c>
      <c r="E16" s="41">
        <f t="shared" si="2"/>
        <v>-0.52800561000000001</v>
      </c>
      <c r="F16" s="41">
        <f t="shared" si="3"/>
        <v>3.6652</v>
      </c>
      <c r="G16" s="41">
        <f t="shared" si="0"/>
        <v>29.077099189600116</v>
      </c>
      <c r="H16" s="41">
        <f t="shared" si="4"/>
        <v>2.9629525386999997</v>
      </c>
      <c r="I16" s="41">
        <f t="shared" si="5"/>
        <v>19.399399297740221</v>
      </c>
      <c r="J16" s="41">
        <f t="shared" si="6"/>
        <v>-2.038788469409945</v>
      </c>
      <c r="K16" s="41">
        <f t="shared" si="7"/>
        <v>22.309309192401251</v>
      </c>
      <c r="L16" s="41">
        <f t="shared" si="7"/>
        <v>-2.3446067398214363</v>
      </c>
      <c r="M16" s="54">
        <f t="shared" si="8"/>
        <v>24.653915932222688</v>
      </c>
    </row>
    <row r="17" spans="2:14" x14ac:dyDescent="0.25">
      <c r="B17" s="40">
        <f t="shared" si="9"/>
        <v>10</v>
      </c>
      <c r="C17" s="42">
        <f>$D$2/MAX(B17:$B$67)*B17</f>
        <v>1.8333333333333333</v>
      </c>
      <c r="D17" s="41">
        <f t="shared" si="1"/>
        <v>18.512685180000091</v>
      </c>
      <c r="E17" s="41">
        <f t="shared" si="2"/>
        <v>-0.75910230000000101</v>
      </c>
      <c r="F17" s="41">
        <f t="shared" si="3"/>
        <v>3.4906666666666668</v>
      </c>
      <c r="G17" s="41">
        <f t="shared" si="0"/>
        <v>28.112537956066788</v>
      </c>
      <c r="H17" s="41">
        <f t="shared" si="4"/>
        <v>2.4810606076666657</v>
      </c>
      <c r="I17" s="41">
        <f t="shared" si="5"/>
        <v>18.856741871220223</v>
      </c>
      <c r="J17" s="41">
        <f t="shared" si="6"/>
        <v>-2.3761178426699412</v>
      </c>
      <c r="K17" s="44">
        <f t="shared" si="7"/>
        <v>21.685253151903254</v>
      </c>
      <c r="L17" s="41">
        <f t="shared" si="7"/>
        <v>-2.7325355190704324</v>
      </c>
      <c r="M17" s="54">
        <f t="shared" si="8"/>
        <v>24.417788670973685</v>
      </c>
    </row>
    <row r="18" spans="2:14" x14ac:dyDescent="0.25">
      <c r="B18" s="40">
        <f t="shared" si="9"/>
        <v>11</v>
      </c>
      <c r="C18" s="42">
        <f>$D$2/MAX(B18:$B$67)*B18</f>
        <v>2.0166666666666666</v>
      </c>
      <c r="D18" s="41">
        <f t="shared" si="1"/>
        <v>17.918679240000099</v>
      </c>
      <c r="E18" s="41">
        <f t="shared" si="2"/>
        <v>-1.0891055999999999</v>
      </c>
      <c r="F18" s="41">
        <f t="shared" si="3"/>
        <v>3.3161333333333332</v>
      </c>
      <c r="G18" s="41">
        <f t="shared" si="0"/>
        <v>27.147976722533468</v>
      </c>
      <c r="H18" s="41">
        <f t="shared" si="4"/>
        <v>1.8676228853333332</v>
      </c>
      <c r="I18" s="41">
        <f t="shared" si="5"/>
        <v>18.314084444700232</v>
      </c>
      <c r="J18" s="41">
        <f t="shared" si="6"/>
        <v>-2.7134472159299379</v>
      </c>
      <c r="K18" s="41">
        <f t="shared" si="7"/>
        <v>21.061197111405264</v>
      </c>
      <c r="L18" s="41">
        <f t="shared" si="7"/>
        <v>-3.1204642983194284</v>
      </c>
      <c r="M18" s="54">
        <f t="shared" si="8"/>
        <v>24.181661409724693</v>
      </c>
    </row>
    <row r="19" spans="2:14" x14ac:dyDescent="0.25">
      <c r="B19" s="40">
        <f t="shared" si="9"/>
        <v>12</v>
      </c>
      <c r="C19" s="42">
        <f>$D$2/MAX(B19:$B$67)*B19</f>
        <v>2.1999999999999997</v>
      </c>
      <c r="D19" s="41">
        <f t="shared" si="1"/>
        <v>17.621676270000101</v>
      </c>
      <c r="E19" s="41">
        <f t="shared" si="2"/>
        <v>-1.2541072499999997</v>
      </c>
      <c r="F19" s="41">
        <f t="shared" si="3"/>
        <v>3.1415999999999999</v>
      </c>
      <c r="G19" s="41">
        <f t="shared" si="0"/>
        <v>26.578429439100137</v>
      </c>
      <c r="H19" s="41">
        <f t="shared" si="4"/>
        <v>1.4736373575000004</v>
      </c>
      <c r="I19" s="41">
        <f t="shared" si="5"/>
        <v>18.042755731440234</v>
      </c>
      <c r="J19" s="41">
        <f t="shared" si="6"/>
        <v>-2.8490749425599482</v>
      </c>
      <c r="K19" s="41">
        <f t="shared" si="7"/>
        <v>20.749169091156269</v>
      </c>
      <c r="L19" s="41">
        <f t="shared" si="7"/>
        <v>-3.27643618394394</v>
      </c>
      <c r="M19" s="54">
        <f t="shared" si="8"/>
        <v>24.025605275100208</v>
      </c>
    </row>
    <row r="20" spans="2:14" x14ac:dyDescent="0.25">
      <c r="B20" s="40">
        <f t="shared" si="9"/>
        <v>13</v>
      </c>
      <c r="C20" s="42">
        <f>$D$2/MAX(B20:$B$67)*B20</f>
        <v>2.3833333333333333</v>
      </c>
      <c r="D20" s="41">
        <f t="shared" si="1"/>
        <v>17.027670330000106</v>
      </c>
      <c r="E20" s="41">
        <f t="shared" si="2"/>
        <v>-1.5841105499999988</v>
      </c>
      <c r="F20" s="41">
        <f t="shared" si="3"/>
        <v>2.9670666666666667</v>
      </c>
      <c r="G20" s="41">
        <f t="shared" si="0"/>
        <v>25.61386820556681</v>
      </c>
      <c r="H20" s="41">
        <f t="shared" si="4"/>
        <v>0.86019963516666831</v>
      </c>
      <c r="I20" s="41">
        <f t="shared" si="5"/>
        <v>17.50009830492024</v>
      </c>
      <c r="J20" s="41">
        <f t="shared" si="6"/>
        <v>-3.1204036558199451</v>
      </c>
      <c r="K20" s="41">
        <f t="shared" si="7"/>
        <v>20.125113050658275</v>
      </c>
      <c r="L20" s="41">
        <f t="shared" si="7"/>
        <v>-3.5884642041929364</v>
      </c>
      <c r="M20" s="54">
        <f t="shared" si="8"/>
        <v>23.713577254851209</v>
      </c>
    </row>
    <row r="21" spans="2:14" x14ac:dyDescent="0.25">
      <c r="B21" s="40">
        <f t="shared" si="9"/>
        <v>14</v>
      </c>
      <c r="C21" s="42">
        <f>$D$2/MAX(B21:$B$67)*B21</f>
        <v>2.5666666666666664</v>
      </c>
      <c r="D21" s="41">
        <f t="shared" si="1"/>
        <v>16.499701680000101</v>
      </c>
      <c r="E21" s="41">
        <f t="shared" si="2"/>
        <v>-1.9141138499999986</v>
      </c>
      <c r="F21" s="41">
        <f t="shared" si="3"/>
        <v>2.7925333333333335</v>
      </c>
      <c r="G21" s="41">
        <f t="shared" si="0"/>
        <v>24.737136567733469</v>
      </c>
      <c r="H21" s="41">
        <f t="shared" si="4"/>
        <v>0.24676191283333537</v>
      </c>
      <c r="I21" s="41">
        <f t="shared" si="5"/>
        <v>16.957440878400249</v>
      </c>
      <c r="J21" s="41">
        <f t="shared" si="6"/>
        <v>-3.3917323690799424</v>
      </c>
      <c r="K21" s="41">
        <f t="shared" si="7"/>
        <v>19.501057010160284</v>
      </c>
      <c r="L21" s="41">
        <f t="shared" si="7"/>
        <v>-3.9004922244419333</v>
      </c>
      <c r="M21" s="54">
        <f t="shared" si="8"/>
        <v>23.401549234602218</v>
      </c>
    </row>
    <row r="22" spans="2:14" x14ac:dyDescent="0.25">
      <c r="B22" s="40">
        <f t="shared" si="9"/>
        <v>15</v>
      </c>
      <c r="C22" s="42">
        <f>$D$2/MAX(B22:$B$67)*B22</f>
        <v>2.75</v>
      </c>
      <c r="D22" s="41">
        <f t="shared" si="1"/>
        <v>15.971696400000109</v>
      </c>
      <c r="E22" s="41">
        <f t="shared" si="2"/>
        <v>-2.2441171499999975</v>
      </c>
      <c r="F22" s="41">
        <f t="shared" si="3"/>
        <v>2.6179999999999999</v>
      </c>
      <c r="G22" s="41">
        <f t="shared" si="0"/>
        <v>23.860356212000145</v>
      </c>
      <c r="H22" s="41">
        <f t="shared" si="4"/>
        <v>-0.36667580949999667</v>
      </c>
      <c r="I22" s="41">
        <f t="shared" si="5"/>
        <v>16.41478345188024</v>
      </c>
      <c r="J22" s="41">
        <f t="shared" si="6"/>
        <v>-3.6630610823399392</v>
      </c>
      <c r="K22" s="41">
        <f t="shared" si="7"/>
        <v>18.877000969662273</v>
      </c>
      <c r="L22" s="41">
        <f t="shared" si="7"/>
        <v>-4.2125202446909293</v>
      </c>
      <c r="M22" s="54">
        <f t="shared" si="8"/>
        <v>23.089521214353201</v>
      </c>
    </row>
    <row r="23" spans="2:14" x14ac:dyDescent="0.25">
      <c r="B23" s="40">
        <f t="shared" si="9"/>
        <v>16</v>
      </c>
      <c r="C23" s="42">
        <f>$D$2/MAX(B23:$B$67)*B23</f>
        <v>2.9333333333333331</v>
      </c>
      <c r="D23" s="41">
        <f t="shared" si="1"/>
        <v>15.443691120000114</v>
      </c>
      <c r="E23" s="41">
        <f t="shared" si="2"/>
        <v>-2.574120449999997</v>
      </c>
      <c r="F23" s="41">
        <f t="shared" si="3"/>
        <v>2.4434666666666667</v>
      </c>
      <c r="G23" s="41">
        <f t="shared" si="0"/>
        <v>22.983575856266818</v>
      </c>
      <c r="H23" s="41">
        <f t="shared" si="4"/>
        <v>-0.98011353183332961</v>
      </c>
      <c r="I23" s="41">
        <f t="shared" si="5"/>
        <v>15.872126025360224</v>
      </c>
      <c r="J23" s="41">
        <f t="shared" si="6"/>
        <v>-3.9343897955999365</v>
      </c>
      <c r="K23" s="41">
        <f t="shared" si="7"/>
        <v>18.252944929164258</v>
      </c>
      <c r="L23" s="41">
        <f t="shared" si="7"/>
        <v>-4.5245482649399262</v>
      </c>
      <c r="M23" s="54">
        <f t="shared" si="8"/>
        <v>22.777493194104185</v>
      </c>
    </row>
    <row r="24" spans="2:14" x14ac:dyDescent="0.25">
      <c r="B24" s="40">
        <f t="shared" si="9"/>
        <v>17</v>
      </c>
      <c r="C24" s="42">
        <f>$D$2/MAX(B24:$B$67)*B24</f>
        <v>3.1166666666666663</v>
      </c>
      <c r="D24" s="41">
        <f t="shared" si="1"/>
        <v>14.915685840000119</v>
      </c>
      <c r="E24" s="41">
        <f t="shared" si="2"/>
        <v>-2.9041237499999957</v>
      </c>
      <c r="F24" s="41">
        <f t="shared" si="3"/>
        <v>2.2689333333333335</v>
      </c>
      <c r="G24" s="41">
        <f t="shared" si="0"/>
        <v>22.106795500533494</v>
      </c>
      <c r="H24" s="41">
        <f t="shared" si="4"/>
        <v>-1.5935512541666608</v>
      </c>
      <c r="I24" s="41">
        <f t="shared" si="5"/>
        <v>15.329468598840213</v>
      </c>
      <c r="J24" s="41">
        <f t="shared" si="6"/>
        <v>-4.2057185088599329</v>
      </c>
      <c r="K24" s="41">
        <f t="shared" si="7"/>
        <v>17.628888888666243</v>
      </c>
      <c r="L24" s="41">
        <f t="shared" si="7"/>
        <v>-4.8365762851889222</v>
      </c>
      <c r="M24" s="54">
        <f t="shared" si="8"/>
        <v>22.465465173855165</v>
      </c>
    </row>
    <row r="25" spans="2:14" x14ac:dyDescent="0.25">
      <c r="B25" s="40">
        <f t="shared" si="9"/>
        <v>18</v>
      </c>
      <c r="C25" s="42">
        <f>$D$2/MAX(B25:$B$67)*B25</f>
        <v>3.3</v>
      </c>
      <c r="D25" s="41">
        <f t="shared" si="1"/>
        <v>14.651683200000122</v>
      </c>
      <c r="E25" s="41">
        <f t="shared" si="2"/>
        <v>-3.0691253999999963</v>
      </c>
      <c r="F25" s="41">
        <f t="shared" si="3"/>
        <v>2.0944000000000003</v>
      </c>
      <c r="G25" s="41">
        <f t="shared" si="0"/>
        <v>21.581138656000164</v>
      </c>
      <c r="H25" s="41">
        <f t="shared" si="4"/>
        <v>-1.987536781999995</v>
      </c>
      <c r="I25" s="41">
        <f t="shared" si="5"/>
        <v>15.058139885580205</v>
      </c>
      <c r="J25" s="41">
        <f t="shared" si="6"/>
        <v>-4.3413828654899325</v>
      </c>
      <c r="K25" s="41">
        <f t="shared" si="7"/>
        <v>17.316860868417233</v>
      </c>
      <c r="L25" s="41">
        <f t="shared" si="7"/>
        <v>-4.9925902953134216</v>
      </c>
      <c r="M25" s="54">
        <f t="shared" si="8"/>
        <v>22.309451163730657</v>
      </c>
    </row>
    <row r="26" spans="2:14" x14ac:dyDescent="0.25">
      <c r="B26" s="40">
        <f t="shared" si="9"/>
        <v>19</v>
      </c>
      <c r="C26" s="42">
        <f>$D$2/MAX(B26:$B$67)*B26</f>
        <v>3.4833333333333329</v>
      </c>
      <c r="D26" s="41">
        <f t="shared" si="1"/>
        <v>14.12367792000013</v>
      </c>
      <c r="E26" s="41">
        <f t="shared" si="2"/>
        <v>-3.3991286999999946</v>
      </c>
      <c r="F26" s="41">
        <f t="shared" si="3"/>
        <v>1.9198666666666671</v>
      </c>
      <c r="G26" s="41">
        <f t="shared" si="0"/>
        <v>20.70435830026684</v>
      </c>
      <c r="H26" s="41">
        <f t="shared" si="4"/>
        <v>-2.6009745043333257</v>
      </c>
      <c r="I26" s="41">
        <f t="shared" si="5"/>
        <v>14.515482459060191</v>
      </c>
      <c r="J26" s="41">
        <f t="shared" si="6"/>
        <v>-4.6127115787499289</v>
      </c>
      <c r="K26" s="41">
        <f t="shared" si="7"/>
        <v>16.692804827919218</v>
      </c>
      <c r="L26" s="41">
        <f t="shared" si="7"/>
        <v>-5.3046183155624176</v>
      </c>
      <c r="M26" s="54">
        <f t="shared" si="8"/>
        <v>21.997423143481637</v>
      </c>
    </row>
    <row r="27" spans="2:14" x14ac:dyDescent="0.25">
      <c r="B27" s="40">
        <f t="shared" si="9"/>
        <v>20</v>
      </c>
      <c r="C27" s="42">
        <f>$D$2/MAX(B27:$B$67)*B27</f>
        <v>3.6666666666666665</v>
      </c>
      <c r="D27" s="41">
        <f t="shared" si="1"/>
        <v>13.595672640000133</v>
      </c>
      <c r="E27" s="41">
        <f t="shared" si="2"/>
        <v>-3.7291319999999946</v>
      </c>
      <c r="F27" s="41">
        <f t="shared" si="3"/>
        <v>1.7453333333333334</v>
      </c>
      <c r="G27" s="43">
        <f t="shared" si="0"/>
        <v>19.827577944533513</v>
      </c>
      <c r="H27" s="41">
        <f t="shared" si="4"/>
        <v>-3.2144122266666595</v>
      </c>
      <c r="I27" s="41">
        <f t="shared" si="5"/>
        <v>13.972825032540179</v>
      </c>
      <c r="J27" s="41">
        <f t="shared" si="6"/>
        <v>-4.8840402920099262</v>
      </c>
      <c r="K27" s="43">
        <f t="shared" si="7"/>
        <v>16.068748787421203</v>
      </c>
      <c r="L27" s="41">
        <f t="shared" si="7"/>
        <v>-5.6166463358114145</v>
      </c>
      <c r="M27" s="54">
        <f t="shared" si="8"/>
        <v>21.685395123232617</v>
      </c>
      <c r="N27" s="23">
        <f>MAX(M27:M47)</f>
        <v>21.685917764939699</v>
      </c>
    </row>
    <row r="28" spans="2:14" x14ac:dyDescent="0.25">
      <c r="B28" s="40">
        <f t="shared" si="9"/>
        <v>21</v>
      </c>
      <c r="C28" s="42">
        <f>$D$2/MAX(B28:$B$67)*B28</f>
        <v>3.8499999999999996</v>
      </c>
      <c r="D28" s="41">
        <f t="shared" si="1"/>
        <v>13.067667360000138</v>
      </c>
      <c r="E28" s="41">
        <f t="shared" si="2"/>
        <v>-4.0591352999999915</v>
      </c>
      <c r="F28" s="41">
        <f t="shared" si="3"/>
        <v>1.5708000000000002</v>
      </c>
      <c r="G28" s="41">
        <f t="shared" si="0"/>
        <v>18.950797588800185</v>
      </c>
      <c r="H28" s="41">
        <f t="shared" si="4"/>
        <v>-3.8278499489999884</v>
      </c>
      <c r="I28" s="41">
        <f t="shared" si="5"/>
        <v>13.430167606020166</v>
      </c>
      <c r="J28" s="41">
        <f t="shared" si="6"/>
        <v>-5.1553690052699226</v>
      </c>
      <c r="K28" s="41">
        <f t="shared" si="7"/>
        <v>15.44469274692319</v>
      </c>
      <c r="L28" s="41">
        <f t="shared" si="7"/>
        <v>-5.9286743560604105</v>
      </c>
      <c r="M28" s="54">
        <f t="shared" si="8"/>
        <v>21.3733671029836</v>
      </c>
      <c r="N28" s="25">
        <f>+M7/N27</f>
        <v>1.2733510214300574</v>
      </c>
    </row>
    <row r="29" spans="2:14" x14ac:dyDescent="0.25">
      <c r="B29" s="40">
        <f t="shared" si="9"/>
        <v>22</v>
      </c>
      <c r="C29" s="42">
        <f>$D$2/MAX(B29:$B$67)*B29</f>
        <v>4.0333333333333332</v>
      </c>
      <c r="D29" s="41">
        <f t="shared" si="1"/>
        <v>12.539662080000143</v>
      </c>
      <c r="E29" s="41">
        <f t="shared" si="2"/>
        <v>-4.3891385999999883</v>
      </c>
      <c r="F29" s="41">
        <f t="shared" si="3"/>
        <v>1.3962666666666665</v>
      </c>
      <c r="G29" s="41">
        <f t="shared" si="0"/>
        <v>18.074017233066858</v>
      </c>
      <c r="H29" s="41">
        <f t="shared" si="4"/>
        <v>-4.4412876713333187</v>
      </c>
      <c r="I29" s="41">
        <f t="shared" si="5"/>
        <v>12.887510179500152</v>
      </c>
      <c r="J29" s="41">
        <f t="shared" si="6"/>
        <v>-5.4266977185299199</v>
      </c>
      <c r="K29" s="41">
        <f t="shared" si="7"/>
        <v>14.820636706425175</v>
      </c>
      <c r="L29" s="41">
        <f t="shared" si="7"/>
        <v>-6.2407023763094074</v>
      </c>
      <c r="M29" s="54">
        <f t="shared" si="8"/>
        <v>21.061339082734584</v>
      </c>
    </row>
    <row r="30" spans="2:14" x14ac:dyDescent="0.25">
      <c r="B30" s="40">
        <f t="shared" si="9"/>
        <v>23</v>
      </c>
      <c r="C30" s="42">
        <f>$D$2/MAX(B30:$B$67)*B30</f>
        <v>4.2166666666666668</v>
      </c>
      <c r="D30" s="41">
        <f t="shared" si="1"/>
        <v>12.011656800000152</v>
      </c>
      <c r="E30" s="41">
        <f t="shared" si="2"/>
        <v>-4.7191418999999852</v>
      </c>
      <c r="F30" s="41">
        <f t="shared" si="3"/>
        <v>1.2217333333333329</v>
      </c>
      <c r="G30" s="41">
        <f t="shared" si="0"/>
        <v>17.197236877333538</v>
      </c>
      <c r="H30" s="41">
        <f t="shared" si="4"/>
        <v>-5.0547253936666481</v>
      </c>
      <c r="I30" s="41">
        <f t="shared" si="5"/>
        <v>12.344852752980138</v>
      </c>
      <c r="J30" s="41">
        <f t="shared" si="6"/>
        <v>-5.6980264317899163</v>
      </c>
      <c r="K30" s="41">
        <f t="shared" si="7"/>
        <v>14.196580665927158</v>
      </c>
      <c r="L30" s="41">
        <f t="shared" si="7"/>
        <v>-6.5527303965584034</v>
      </c>
      <c r="M30" s="54">
        <f t="shared" si="8"/>
        <v>20.74931106248556</v>
      </c>
    </row>
    <row r="31" spans="2:14" x14ac:dyDescent="0.25">
      <c r="B31" s="40">
        <f t="shared" si="9"/>
        <v>24</v>
      </c>
      <c r="C31" s="42">
        <f>$D$2/MAX(B31:$B$67)*B31</f>
        <v>4.3999999999999995</v>
      </c>
      <c r="D31" s="41">
        <f t="shared" si="1"/>
        <v>11.747654160000154</v>
      </c>
      <c r="E31" s="41">
        <f t="shared" si="2"/>
        <v>-4.8842583899999701</v>
      </c>
      <c r="F31" s="41">
        <f t="shared" si="3"/>
        <v>1.0472000000000001</v>
      </c>
      <c r="G31" s="41">
        <f t="shared" si="0"/>
        <v>16.671580032800208</v>
      </c>
      <c r="H31" s="41">
        <f t="shared" si="4"/>
        <v>-5.4488636586999606</v>
      </c>
      <c r="I31" s="41">
        <f t="shared" si="5"/>
        <v>12.073524039720132</v>
      </c>
      <c r="J31" s="41">
        <f t="shared" si="6"/>
        <v>-5.8338725768398296</v>
      </c>
      <c r="K31" s="41">
        <f t="shared" si="7"/>
        <v>13.88455264567815</v>
      </c>
      <c r="L31" s="41">
        <f t="shared" si="7"/>
        <v>-6.7089534633658037</v>
      </c>
      <c r="M31" s="54">
        <f t="shared" si="8"/>
        <v>20.593506109043954</v>
      </c>
    </row>
    <row r="32" spans="2:14" x14ac:dyDescent="0.25">
      <c r="B32" s="40">
        <f t="shared" si="9"/>
        <v>25</v>
      </c>
      <c r="C32" s="42">
        <f>$D$2/MAX(B32:$B$67)*B32</f>
        <v>4.583333333333333</v>
      </c>
      <c r="D32" s="41">
        <f t="shared" si="1"/>
        <v>11.219648880000159</v>
      </c>
      <c r="E32" s="41">
        <f t="shared" si="2"/>
        <v>-5.4782643299999627</v>
      </c>
      <c r="F32" s="41">
        <f t="shared" si="3"/>
        <v>0.87266666666666648</v>
      </c>
      <c r="G32" s="41">
        <f t="shared" si="0"/>
        <v>15.79479967706688</v>
      </c>
      <c r="H32" s="41">
        <f t="shared" si="4"/>
        <v>-6.4134248922332846</v>
      </c>
      <c r="I32" s="41">
        <f t="shared" si="5"/>
        <v>11.53086661320012</v>
      </c>
      <c r="J32" s="41">
        <f t="shared" si="6"/>
        <v>-6.3765300033598233</v>
      </c>
      <c r="K32" s="41">
        <f t="shared" si="7"/>
        <v>13.260496605180137</v>
      </c>
      <c r="L32" s="41">
        <f t="shared" si="7"/>
        <v>-7.3330095038637966</v>
      </c>
      <c r="M32" s="54">
        <f t="shared" si="8"/>
        <v>20.593506109043933</v>
      </c>
    </row>
    <row r="33" spans="2:13" x14ac:dyDescent="0.25">
      <c r="B33" s="40">
        <f t="shared" si="9"/>
        <v>26</v>
      </c>
      <c r="C33" s="42">
        <f>$D$2/MAX(B33:$B$67)*B33</f>
        <v>4.7666666666666666</v>
      </c>
      <c r="D33" s="41">
        <f t="shared" si="1"/>
        <v>10.691643600000164</v>
      </c>
      <c r="E33" s="41">
        <f t="shared" si="2"/>
        <v>-6.0722702699999571</v>
      </c>
      <c r="F33" s="41">
        <f t="shared" si="3"/>
        <v>0.69813333333333372</v>
      </c>
      <c r="G33" s="41">
        <f t="shared" si="0"/>
        <v>14.918019321333553</v>
      </c>
      <c r="H33" s="41">
        <f t="shared" si="4"/>
        <v>-7.3779861257666104</v>
      </c>
      <c r="I33" s="41">
        <f t="shared" si="5"/>
        <v>10.988209186680105</v>
      </c>
      <c r="J33" s="41">
        <f t="shared" si="6"/>
        <v>-6.9191874298798179</v>
      </c>
      <c r="K33" s="41">
        <f t="shared" si="7"/>
        <v>12.63644056468212</v>
      </c>
      <c r="L33" s="41">
        <f t="shared" si="7"/>
        <v>-7.9570655443617904</v>
      </c>
      <c r="M33" s="54">
        <f t="shared" si="8"/>
        <v>20.593506109043911</v>
      </c>
    </row>
    <row r="34" spans="2:13" x14ac:dyDescent="0.25">
      <c r="B34" s="40">
        <f t="shared" si="9"/>
        <v>27</v>
      </c>
      <c r="C34" s="42">
        <f>$D$2/MAX(B34:$B$67)*B34</f>
        <v>4.9499999999999993</v>
      </c>
      <c r="D34" s="41">
        <f t="shared" si="1"/>
        <v>10.163638320000171</v>
      </c>
      <c r="E34" s="41">
        <f t="shared" si="2"/>
        <v>-6.6662762099999497</v>
      </c>
      <c r="F34" s="41">
        <f t="shared" si="3"/>
        <v>0.52360000000000095</v>
      </c>
      <c r="G34" s="41">
        <f t="shared" si="0"/>
        <v>14.041238965600229</v>
      </c>
      <c r="H34" s="41">
        <f t="shared" si="4"/>
        <v>-8.3425473592999317</v>
      </c>
      <c r="I34" s="41">
        <f t="shared" si="5"/>
        <v>10.445551760160093</v>
      </c>
      <c r="J34" s="41">
        <f t="shared" si="6"/>
        <v>-7.4618448563998117</v>
      </c>
      <c r="K34" s="41">
        <f t="shared" si="7"/>
        <v>12.012384524184107</v>
      </c>
      <c r="L34" s="41">
        <f t="shared" si="7"/>
        <v>-8.5811215848597833</v>
      </c>
      <c r="M34" s="54">
        <f t="shared" si="8"/>
        <v>20.59350610904389</v>
      </c>
    </row>
    <row r="35" spans="2:13" x14ac:dyDescent="0.25">
      <c r="B35" s="40">
        <f t="shared" si="9"/>
        <v>28</v>
      </c>
      <c r="C35" s="42">
        <f>$D$2/MAX(B35:$B$67)*B35</f>
        <v>5.1333333333333329</v>
      </c>
      <c r="D35" s="41">
        <f t="shared" si="1"/>
        <v>9.635633040000176</v>
      </c>
      <c r="E35" s="41">
        <f t="shared" si="2"/>
        <v>-7.2602821499999441</v>
      </c>
      <c r="F35" s="41">
        <f t="shared" si="3"/>
        <v>0.3490666666666673</v>
      </c>
      <c r="G35" s="41">
        <f t="shared" si="0"/>
        <v>13.164458609866902</v>
      </c>
      <c r="H35" s="41">
        <f t="shared" si="4"/>
        <v>-9.3071085928332593</v>
      </c>
      <c r="I35" s="41">
        <f t="shared" si="5"/>
        <v>9.9028943336400808</v>
      </c>
      <c r="J35" s="41">
        <f t="shared" si="6"/>
        <v>-8.0045022829198054</v>
      </c>
      <c r="K35" s="41">
        <f t="shared" si="7"/>
        <v>11.388328483686092</v>
      </c>
      <c r="L35" s="41">
        <f t="shared" si="7"/>
        <v>-9.2051776253577753</v>
      </c>
      <c r="M35" s="54">
        <f t="shared" si="8"/>
        <v>20.593506109043865</v>
      </c>
    </row>
    <row r="36" spans="2:13" x14ac:dyDescent="0.25">
      <c r="B36" s="40">
        <f t="shared" si="9"/>
        <v>29</v>
      </c>
      <c r="C36" s="42">
        <f>$D$2/MAX(B36:$B$67)*B36</f>
        <v>5.3166666666666664</v>
      </c>
      <c r="D36" s="41">
        <f t="shared" si="1"/>
        <v>9.1076277600001827</v>
      </c>
      <c r="E36" s="41">
        <f t="shared" si="2"/>
        <v>-7.8542880899999359</v>
      </c>
      <c r="F36" s="41">
        <f t="shared" si="3"/>
        <v>0.17453333333333365</v>
      </c>
      <c r="G36" s="41">
        <f t="shared" si="0"/>
        <v>12.287678254133578</v>
      </c>
      <c r="H36" s="41">
        <f t="shared" si="4"/>
        <v>-10.271669826366583</v>
      </c>
      <c r="I36" s="41">
        <f t="shared" si="5"/>
        <v>9.3602369071200666</v>
      </c>
      <c r="J36" s="41">
        <f t="shared" si="6"/>
        <v>-8.5471597094398</v>
      </c>
      <c r="K36" s="41">
        <f t="shared" si="7"/>
        <v>10.764272443188077</v>
      </c>
      <c r="L36" s="41">
        <f t="shared" si="7"/>
        <v>-9.8292336658557691</v>
      </c>
      <c r="M36" s="54">
        <f t="shared" si="8"/>
        <v>20.593506109043844</v>
      </c>
    </row>
    <row r="37" spans="2:13" x14ac:dyDescent="0.25">
      <c r="B37" s="40">
        <f t="shared" si="9"/>
        <v>30</v>
      </c>
      <c r="C37" s="42">
        <f>$D$2/MAX(B37:$B$67)*B37</f>
        <v>5.5</v>
      </c>
      <c r="D37" s="41">
        <f t="shared" si="1"/>
        <v>8.8436251200001852</v>
      </c>
      <c r="E37" s="41">
        <f t="shared" si="2"/>
        <v>-8.1512910599999344</v>
      </c>
      <c r="F37" s="41">
        <f t="shared" si="3"/>
        <v>0</v>
      </c>
      <c r="G37" s="41">
        <f t="shared" si="0"/>
        <v>11.762021409600248</v>
      </c>
      <c r="H37" s="41">
        <f t="shared" si="4"/>
        <v>-10.841217109799913</v>
      </c>
      <c r="I37" s="41">
        <f t="shared" si="5"/>
        <v>9.0889081938600587</v>
      </c>
      <c r="J37" s="41">
        <f t="shared" si="6"/>
        <v>-8.8184884226997973</v>
      </c>
      <c r="K37" s="41">
        <f t="shared" si="7"/>
        <v>10.452244422939067</v>
      </c>
      <c r="L37" s="41">
        <f t="shared" si="7"/>
        <v>-10.141261686104766</v>
      </c>
      <c r="M37" s="54">
        <f t="shared" si="8"/>
        <v>20.593506109043833</v>
      </c>
    </row>
    <row r="38" spans="2:13" x14ac:dyDescent="0.25">
      <c r="B38" s="40">
        <f>+B37+1</f>
        <v>31</v>
      </c>
      <c r="C38" s="42">
        <f>$D$2/MAX(B38:$B$67)*B38</f>
        <v>5.6833333333333327</v>
      </c>
      <c r="D38" s="41">
        <f t="shared" si="1"/>
        <v>8.3156198400001919</v>
      </c>
      <c r="E38" s="41">
        <f t="shared" si="2"/>
        <v>-8.7452969999999262</v>
      </c>
      <c r="F38" s="41">
        <f t="shared" si="3"/>
        <v>-0.17453333333333276</v>
      </c>
      <c r="G38" s="41">
        <f t="shared" si="0"/>
        <v>10.885241053866924</v>
      </c>
      <c r="H38" s="41">
        <f t="shared" si="4"/>
        <v>-11.805778343333236</v>
      </c>
      <c r="I38" s="41">
        <f t="shared" si="5"/>
        <v>8.5462507673400463</v>
      </c>
      <c r="J38" s="41">
        <f t="shared" si="6"/>
        <v>-9.3611458492197901</v>
      </c>
      <c r="K38" s="41">
        <f t="shared" si="7"/>
        <v>9.8281883824410521</v>
      </c>
      <c r="L38" s="41">
        <f t="shared" si="7"/>
        <v>-10.765317726602758</v>
      </c>
      <c r="M38" s="54">
        <f t="shared" si="8"/>
        <v>20.593506109043808</v>
      </c>
    </row>
    <row r="39" spans="2:13" x14ac:dyDescent="0.25">
      <c r="B39" s="40">
        <f t="shared" si="9"/>
        <v>32</v>
      </c>
      <c r="C39" s="42">
        <f>$D$2/MAX(B39:$B$67)*B39</f>
        <v>5.8666666666666663</v>
      </c>
      <c r="D39" s="41">
        <f t="shared" si="1"/>
        <v>7.7876145600001969</v>
      </c>
      <c r="E39" s="41">
        <f t="shared" si="2"/>
        <v>-9.3393029399999214</v>
      </c>
      <c r="F39" s="41">
        <f t="shared" si="3"/>
        <v>-0.34906666666666641</v>
      </c>
      <c r="G39" s="41">
        <f t="shared" si="0"/>
        <v>10.008460698133597</v>
      </c>
      <c r="H39" s="41">
        <f t="shared" si="4"/>
        <v>-12.770339576866562</v>
      </c>
      <c r="I39" s="41">
        <f t="shared" si="5"/>
        <v>8.0035933408200339</v>
      </c>
      <c r="J39" s="41">
        <f t="shared" si="6"/>
        <v>-9.9038032757397847</v>
      </c>
      <c r="K39" s="41">
        <f t="shared" si="7"/>
        <v>9.2041323419430388</v>
      </c>
      <c r="L39" s="41">
        <f t="shared" si="7"/>
        <v>-11.389373767100752</v>
      </c>
      <c r="M39" s="54">
        <f t="shared" si="8"/>
        <v>20.593506109043791</v>
      </c>
    </row>
    <row r="40" spans="2:13" x14ac:dyDescent="0.25">
      <c r="B40" s="40">
        <f t="shared" si="9"/>
        <v>33</v>
      </c>
      <c r="C40" s="42">
        <f>$D$2/MAX(B40:$B$67)*B40</f>
        <v>6.05</v>
      </c>
      <c r="D40" s="41">
        <f t="shared" si="1"/>
        <v>7.2596092800002028</v>
      </c>
      <c r="E40" s="41">
        <f t="shared" si="2"/>
        <v>-9.933308879999915</v>
      </c>
      <c r="F40" s="41">
        <f t="shared" si="3"/>
        <v>-0.52360000000000007</v>
      </c>
      <c r="G40" s="41">
        <f t="shared" si="0"/>
        <v>9.1316803424002693</v>
      </c>
      <c r="H40" s="41">
        <f t="shared" si="4"/>
        <v>-13.734900810399887</v>
      </c>
      <c r="I40" s="41">
        <f t="shared" si="5"/>
        <v>7.4609359143000198</v>
      </c>
      <c r="J40" s="41">
        <f t="shared" si="6"/>
        <v>-10.446460702259778</v>
      </c>
      <c r="K40" s="41">
        <f t="shared" si="7"/>
        <v>8.5800763014450219</v>
      </c>
      <c r="L40" s="41">
        <f t="shared" si="7"/>
        <v>-12.013429807598744</v>
      </c>
      <c r="M40" s="54">
        <f t="shared" si="8"/>
        <v>20.593506109043766</v>
      </c>
    </row>
    <row r="41" spans="2:13" x14ac:dyDescent="0.25">
      <c r="B41" s="40">
        <f t="shared" si="9"/>
        <v>34</v>
      </c>
      <c r="C41" s="42">
        <f>$D$2/MAX(B41:$B$67)*B41</f>
        <v>6.2333333333333325</v>
      </c>
      <c r="D41" s="41">
        <f t="shared" si="1"/>
        <v>6.7316040000002086</v>
      </c>
      <c r="E41" s="41">
        <f t="shared" si="2"/>
        <v>-10.527314819999907</v>
      </c>
      <c r="F41" s="41">
        <f t="shared" si="3"/>
        <v>-0.69813333333333283</v>
      </c>
      <c r="G41" s="41">
        <f t="shared" si="0"/>
        <v>8.2548999866669455</v>
      </c>
      <c r="H41" s="41">
        <f t="shared" si="4"/>
        <v>-14.69946204393321</v>
      </c>
      <c r="I41" s="41">
        <f t="shared" si="5"/>
        <v>6.9182784877800065</v>
      </c>
      <c r="J41" s="41">
        <f t="shared" si="6"/>
        <v>-10.989118128779774</v>
      </c>
      <c r="K41" s="41">
        <f t="shared" si="7"/>
        <v>7.9560202609470068</v>
      </c>
      <c r="L41" s="41">
        <f t="shared" si="7"/>
        <v>-12.637485848096739</v>
      </c>
      <c r="M41" s="54">
        <f t="shared" si="8"/>
        <v>20.593506109043744</v>
      </c>
    </row>
    <row r="42" spans="2:13" x14ac:dyDescent="0.25">
      <c r="B42" s="40">
        <f t="shared" si="9"/>
        <v>35</v>
      </c>
      <c r="C42" s="42">
        <f>$D$2/MAX(B42:$B$67)*B42</f>
        <v>6.4166666666666661</v>
      </c>
      <c r="D42" s="41">
        <f t="shared" si="1"/>
        <v>6.2035987200002145</v>
      </c>
      <c r="E42" s="41">
        <f t="shared" si="2"/>
        <v>-11.121320759999902</v>
      </c>
      <c r="F42" s="41">
        <f t="shared" si="3"/>
        <v>-0.87266666666666648</v>
      </c>
      <c r="G42" s="41">
        <f t="shared" si="0"/>
        <v>7.378119630933619</v>
      </c>
      <c r="H42" s="41">
        <f t="shared" si="4"/>
        <v>-15.664023277466537</v>
      </c>
      <c r="I42" s="41">
        <f t="shared" si="5"/>
        <v>6.3756210612599924</v>
      </c>
      <c r="J42" s="41">
        <f t="shared" si="6"/>
        <v>-11.531775555299767</v>
      </c>
      <c r="K42" s="41">
        <f t="shared" si="7"/>
        <v>7.3319642204489908</v>
      </c>
      <c r="L42" s="41">
        <f t="shared" si="7"/>
        <v>-13.261541888594731</v>
      </c>
      <c r="M42" s="54">
        <f t="shared" si="8"/>
        <v>20.593506109043723</v>
      </c>
    </row>
    <row r="43" spans="2:13" x14ac:dyDescent="0.25">
      <c r="B43" s="40">
        <f t="shared" si="9"/>
        <v>36</v>
      </c>
      <c r="C43" s="42">
        <f>$D$2/MAX(B43:$B$67)*B43</f>
        <v>6.6</v>
      </c>
      <c r="D43" s="41">
        <f t="shared" si="1"/>
        <v>5.9395960800002179</v>
      </c>
      <c r="E43" s="41">
        <f t="shared" si="2"/>
        <v>-11.418323729999898</v>
      </c>
      <c r="F43" s="41">
        <f t="shared" si="3"/>
        <v>-1.0471999999999992</v>
      </c>
      <c r="G43" s="41">
        <f t="shared" si="0"/>
        <v>6.8524627864002907</v>
      </c>
      <c r="H43" s="41">
        <f t="shared" si="4"/>
        <v>-16.233570560899864</v>
      </c>
      <c r="I43" s="41">
        <f t="shared" si="5"/>
        <v>6.1042923479999862</v>
      </c>
      <c r="J43" s="41">
        <f t="shared" si="6"/>
        <v>-11.803104268559764</v>
      </c>
      <c r="K43" s="41">
        <f t="shared" si="7"/>
        <v>7.0199362001999832</v>
      </c>
      <c r="L43" s="41">
        <f t="shared" si="7"/>
        <v>-13.573569908843728</v>
      </c>
      <c r="M43" s="54">
        <f t="shared" si="8"/>
        <v>20.593506109043712</v>
      </c>
    </row>
    <row r="44" spans="2:13" x14ac:dyDescent="0.25">
      <c r="B44" s="40">
        <f t="shared" si="9"/>
        <v>37</v>
      </c>
      <c r="C44" s="42">
        <f>$D$2/MAX(B44:$B$67)*B44</f>
        <v>6.7833333333333332</v>
      </c>
      <c r="D44" s="41">
        <f t="shared" si="1"/>
        <v>5.5437954000001124</v>
      </c>
      <c r="E44" s="41">
        <f t="shared" si="2"/>
        <v>-12.01232966999989</v>
      </c>
      <c r="F44" s="41">
        <f t="shared" si="3"/>
        <v>-1.2217333333333329</v>
      </c>
      <c r="G44" s="41">
        <f t="shared" si="0"/>
        <v>6.1515145486668166</v>
      </c>
      <c r="H44" s="41">
        <f t="shared" si="4"/>
        <v>-17.198131794433188</v>
      </c>
      <c r="I44" s="41">
        <f t="shared" si="5"/>
        <v>5.6975719607399871</v>
      </c>
      <c r="J44" s="41">
        <f t="shared" si="6"/>
        <v>-12.345761695079759</v>
      </c>
      <c r="K44" s="41">
        <f t="shared" si="7"/>
        <v>6.5522077548509845</v>
      </c>
      <c r="L44" s="41">
        <f t="shared" si="7"/>
        <v>-14.197625949341722</v>
      </c>
      <c r="M44" s="54">
        <f t="shared" si="8"/>
        <v>20.749833704192707</v>
      </c>
    </row>
    <row r="45" spans="2:13" x14ac:dyDescent="0.25">
      <c r="B45" s="40">
        <f t="shared" si="9"/>
        <v>38</v>
      </c>
      <c r="C45" s="42">
        <f>$D$2/MAX(B45:$B$67)*B45</f>
        <v>6.9666666666666659</v>
      </c>
      <c r="D45" s="41">
        <f t="shared" si="1"/>
        <v>5.2797927600001149</v>
      </c>
      <c r="E45" s="41">
        <f t="shared" si="2"/>
        <v>-12.540298319999897</v>
      </c>
      <c r="F45" s="41">
        <f t="shared" si="3"/>
        <v>-1.3962666666666657</v>
      </c>
      <c r="G45" s="41">
        <f t="shared" si="0"/>
        <v>5.6258577041334874</v>
      </c>
      <c r="H45" s="41">
        <f t="shared" si="4"/>
        <v>-18.074863432266529</v>
      </c>
      <c r="I45" s="41">
        <f t="shared" si="5"/>
        <v>5.42624324747998</v>
      </c>
      <c r="J45" s="41">
        <f t="shared" si="6"/>
        <v>-12.888419121599751</v>
      </c>
      <c r="K45" s="41">
        <f t="shared" si="7"/>
        <v>6.2401797346019769</v>
      </c>
      <c r="L45" s="41">
        <f t="shared" si="7"/>
        <v>-14.821681989839712</v>
      </c>
      <c r="M45" s="54">
        <f t="shared" si="8"/>
        <v>21.061861724441691</v>
      </c>
    </row>
    <row r="46" spans="2:13" x14ac:dyDescent="0.25">
      <c r="B46" s="40">
        <f t="shared" si="9"/>
        <v>39</v>
      </c>
      <c r="C46" s="42">
        <f>$D$2/MAX(B46:$B$67)*B46</f>
        <v>7.1499999999999995</v>
      </c>
      <c r="D46" s="41">
        <f t="shared" si="1"/>
        <v>5.0157901200001183</v>
      </c>
      <c r="E46" s="41">
        <f t="shared" si="2"/>
        <v>-13.068303599999892</v>
      </c>
      <c r="F46" s="41">
        <f t="shared" si="3"/>
        <v>-1.5707999999999993</v>
      </c>
      <c r="G46" s="41">
        <f t="shared" si="0"/>
        <v>5.1002008596001582</v>
      </c>
      <c r="H46" s="41">
        <f t="shared" si="4"/>
        <v>-18.951643787999856</v>
      </c>
      <c r="I46" s="41">
        <f t="shared" si="5"/>
        <v>5.1549145342199738</v>
      </c>
      <c r="J46" s="41">
        <f t="shared" si="6"/>
        <v>-13.431076548119758</v>
      </c>
      <c r="K46" s="41">
        <f t="shared" si="7"/>
        <v>5.9281517143529694</v>
      </c>
      <c r="L46" s="41">
        <f t="shared" si="7"/>
        <v>-15.44573803033772</v>
      </c>
      <c r="M46" s="54">
        <f t="shared" si="8"/>
        <v>21.37388974469069</v>
      </c>
    </row>
    <row r="47" spans="2:13" x14ac:dyDescent="0.25">
      <c r="B47" s="40">
        <f t="shared" si="9"/>
        <v>40</v>
      </c>
      <c r="C47" s="42">
        <f>$D$2/MAX(B47:$B$67)*B47</f>
        <v>7.333333333333333</v>
      </c>
      <c r="D47" s="41">
        <f t="shared" si="1"/>
        <v>4.751787480000119</v>
      </c>
      <c r="E47" s="41">
        <f t="shared" si="2"/>
        <v>-13.596308879999887</v>
      </c>
      <c r="F47" s="41">
        <f t="shared" si="3"/>
        <v>-1.745333333333333</v>
      </c>
      <c r="G47" s="41">
        <f t="shared" si="0"/>
        <v>4.5745440150668255</v>
      </c>
      <c r="H47" s="43">
        <f t="shared" si="4"/>
        <v>-19.82842414373318</v>
      </c>
      <c r="I47" s="41">
        <f t="shared" si="5"/>
        <v>4.8835858209599667</v>
      </c>
      <c r="J47" s="41">
        <f t="shared" si="6"/>
        <v>-13.973733974639773</v>
      </c>
      <c r="K47" s="41">
        <f t="shared" si="7"/>
        <v>5.616123694103961</v>
      </c>
      <c r="L47" s="43">
        <f t="shared" si="7"/>
        <v>-16.069794070835737</v>
      </c>
      <c r="M47" s="54">
        <f t="shared" si="8"/>
        <v>21.685917764939699</v>
      </c>
    </row>
    <row r="48" spans="2:13" x14ac:dyDescent="0.25">
      <c r="B48" s="40">
        <f t="shared" si="9"/>
        <v>41</v>
      </c>
      <c r="C48" s="42">
        <f>$D$2/MAX(B48:$B$67)*B48</f>
        <v>7.5166666666666657</v>
      </c>
      <c r="D48" s="41">
        <f t="shared" si="1"/>
        <v>4.4877848400001117</v>
      </c>
      <c r="E48" s="41">
        <f t="shared" si="2"/>
        <v>-14.12431415999988</v>
      </c>
      <c r="F48" s="41">
        <f t="shared" si="3"/>
        <v>-1.9198666666666657</v>
      </c>
      <c r="G48" s="41">
        <f t="shared" si="0"/>
        <v>4.048887170533483</v>
      </c>
      <c r="H48" s="41">
        <f t="shared" si="4"/>
        <v>-20.705204499466504</v>
      </c>
      <c r="I48" s="41">
        <f t="shared" si="5"/>
        <v>4.6122571076999606</v>
      </c>
      <c r="J48" s="41">
        <f t="shared" si="6"/>
        <v>-14.516391401159787</v>
      </c>
      <c r="K48" s="41">
        <f t="shared" si="7"/>
        <v>5.3040956738549543</v>
      </c>
      <c r="L48" s="41">
        <f t="shared" si="7"/>
        <v>-16.693850111333752</v>
      </c>
      <c r="M48" s="54">
        <f t="shared" si="8"/>
        <v>21.997945785188705</v>
      </c>
    </row>
    <row r="49" spans="2:13" x14ac:dyDescent="0.25">
      <c r="B49" s="40">
        <f t="shared" si="9"/>
        <v>42</v>
      </c>
      <c r="C49" s="42">
        <f>$D$2/MAX(B49:$B$67)*B49</f>
        <v>7.6999999999999993</v>
      </c>
      <c r="D49" s="41">
        <f t="shared" si="1"/>
        <v>4.3557835200001085</v>
      </c>
      <c r="E49" s="41">
        <f t="shared" si="2"/>
        <v>-14.388316799999878</v>
      </c>
      <c r="F49" s="41">
        <f t="shared" si="3"/>
        <v>-2.0943999999999994</v>
      </c>
      <c r="G49" s="41">
        <f t="shared" si="0"/>
        <v>3.6987920816001454</v>
      </c>
      <c r="H49" s="41">
        <f t="shared" si="4"/>
        <v>-21.230861343999837</v>
      </c>
      <c r="I49" s="41">
        <f t="shared" si="5"/>
        <v>4.4765927510699575</v>
      </c>
      <c r="J49" s="41">
        <f t="shared" si="6"/>
        <v>-14.787720114419795</v>
      </c>
      <c r="K49" s="41">
        <f t="shared" si="7"/>
        <v>5.1480816637304505</v>
      </c>
      <c r="L49" s="41">
        <f t="shared" si="7"/>
        <v>-17.005878131582762</v>
      </c>
      <c r="M49" s="54">
        <f t="shared" si="8"/>
        <v>22.153959795313213</v>
      </c>
    </row>
    <row r="50" spans="2:13" x14ac:dyDescent="0.25">
      <c r="B50" s="40">
        <f t="shared" si="9"/>
        <v>43</v>
      </c>
      <c r="C50" s="42">
        <f>$D$2/MAX(B50:$B$67)*B50</f>
        <v>7.8833333333333329</v>
      </c>
      <c r="D50" s="41">
        <f t="shared" si="1"/>
        <v>4.0917808800001021</v>
      </c>
      <c r="E50" s="41">
        <f t="shared" si="2"/>
        <v>-14.916322079999871</v>
      </c>
      <c r="F50" s="41">
        <f t="shared" si="3"/>
        <v>-2.268933333333333</v>
      </c>
      <c r="G50" s="41">
        <f t="shared" si="0"/>
        <v>3.1731352370668029</v>
      </c>
      <c r="H50" s="41">
        <f t="shared" si="4"/>
        <v>-22.107641699733161</v>
      </c>
      <c r="I50" s="41">
        <f t="shared" si="5"/>
        <v>4.2052640378099504</v>
      </c>
      <c r="J50" s="41">
        <f t="shared" si="6"/>
        <v>-15.330377540939807</v>
      </c>
      <c r="K50" s="41">
        <f t="shared" si="7"/>
        <v>4.836053643481443</v>
      </c>
      <c r="L50" s="41">
        <f t="shared" si="7"/>
        <v>-17.629934172080777</v>
      </c>
      <c r="M50" s="54">
        <f t="shared" si="8"/>
        <v>22.465987815562219</v>
      </c>
    </row>
    <row r="51" spans="2:13" x14ac:dyDescent="0.25">
      <c r="B51" s="40">
        <f t="shared" si="9"/>
        <v>44</v>
      </c>
      <c r="C51" s="42">
        <f>$D$2/MAX(B51:$B$67)*B51</f>
        <v>8.0666666666666664</v>
      </c>
      <c r="D51" s="41">
        <f t="shared" si="1"/>
        <v>3.8277782400000961</v>
      </c>
      <c r="E51" s="41">
        <f t="shared" si="2"/>
        <v>-15.444327359999866</v>
      </c>
      <c r="F51" s="41">
        <f t="shared" si="3"/>
        <v>-2.4434666666666667</v>
      </c>
      <c r="G51" s="41">
        <f t="shared" si="0"/>
        <v>2.6474783925334613</v>
      </c>
      <c r="H51" s="41">
        <f t="shared" si="4"/>
        <v>-22.984422055466489</v>
      </c>
      <c r="I51" s="41">
        <f t="shared" si="5"/>
        <v>3.9339353245499438</v>
      </c>
      <c r="J51" s="41">
        <f t="shared" si="6"/>
        <v>-15.873034967459819</v>
      </c>
      <c r="K51" s="41">
        <f t="shared" si="7"/>
        <v>4.5240256232324354</v>
      </c>
      <c r="L51" s="41">
        <f t="shared" si="7"/>
        <v>-18.253990212578792</v>
      </c>
      <c r="M51" s="54">
        <f t="shared" si="8"/>
        <v>22.778015835811228</v>
      </c>
    </row>
    <row r="52" spans="2:13" x14ac:dyDescent="0.25">
      <c r="B52" s="40">
        <f t="shared" si="9"/>
        <v>45</v>
      </c>
      <c r="C52" s="42">
        <f>$D$2/MAX(B52:$B$67)*B52</f>
        <v>8.25</v>
      </c>
      <c r="D52" s="41">
        <f t="shared" si="1"/>
        <v>3.5637756000000893</v>
      </c>
      <c r="E52" s="41">
        <f t="shared" si="2"/>
        <v>-15.972332639999859</v>
      </c>
      <c r="F52" s="41">
        <f t="shared" si="3"/>
        <v>-2.6179999999999994</v>
      </c>
      <c r="G52" s="41">
        <f t="shared" si="0"/>
        <v>2.1218215480001197</v>
      </c>
      <c r="H52" s="41">
        <f t="shared" si="4"/>
        <v>-23.861202411199812</v>
      </c>
      <c r="I52" s="41">
        <f t="shared" si="5"/>
        <v>3.6626066112899376</v>
      </c>
      <c r="J52" s="41">
        <f t="shared" si="6"/>
        <v>-16.415692393979832</v>
      </c>
      <c r="K52" s="41">
        <f t="shared" si="7"/>
        <v>4.2119976029834278</v>
      </c>
      <c r="L52" s="41">
        <f t="shared" si="7"/>
        <v>-18.878046253076803</v>
      </c>
      <c r="M52" s="54">
        <f t="shared" si="8"/>
        <v>23.09004385606023</v>
      </c>
    </row>
    <row r="53" spans="2:13" x14ac:dyDescent="0.25">
      <c r="B53" s="40">
        <f t="shared" si="9"/>
        <v>46</v>
      </c>
      <c r="C53" s="42">
        <f>$D$2/MAX(B53:$B$67)*B53</f>
        <v>8.4333333333333336</v>
      </c>
      <c r="D53" s="41">
        <f t="shared" si="1"/>
        <v>3.2997729600000834</v>
      </c>
      <c r="E53" s="41">
        <f t="shared" si="2"/>
        <v>-16.500337919999854</v>
      </c>
      <c r="F53" s="41">
        <f t="shared" si="3"/>
        <v>-2.792533333333334</v>
      </c>
      <c r="G53" s="41">
        <f t="shared" si="0"/>
        <v>1.5961647034667772</v>
      </c>
      <c r="H53" s="41">
        <f t="shared" si="4"/>
        <v>-24.737982766933143</v>
      </c>
      <c r="I53" s="41">
        <f t="shared" si="5"/>
        <v>3.3912778980299305</v>
      </c>
      <c r="J53" s="41">
        <f t="shared" si="6"/>
        <v>-16.958349820499848</v>
      </c>
      <c r="K53" s="41">
        <f t="shared" si="7"/>
        <v>3.8999695827344198</v>
      </c>
      <c r="L53" s="41">
        <f t="shared" si="7"/>
        <v>-19.502102293574822</v>
      </c>
      <c r="M53" s="54">
        <f t="shared" si="8"/>
        <v>23.402071876309243</v>
      </c>
    </row>
    <row r="54" spans="2:13" x14ac:dyDescent="0.25">
      <c r="B54" s="40">
        <f t="shared" si="9"/>
        <v>47</v>
      </c>
      <c r="C54" s="42">
        <f>$D$2/MAX(B54:$B$67)*B54</f>
        <v>8.6166666666666654</v>
      </c>
      <c r="D54" s="41">
        <f t="shared" si="1"/>
        <v>3.035770320000077</v>
      </c>
      <c r="E54" s="41">
        <f t="shared" si="2"/>
        <v>-17.028343199999849</v>
      </c>
      <c r="F54" s="41">
        <f t="shared" si="3"/>
        <v>-2.967066666666665</v>
      </c>
      <c r="G54" s="41">
        <f t="shared" si="0"/>
        <v>1.0705078589334374</v>
      </c>
      <c r="H54" s="41">
        <f t="shared" si="4"/>
        <v>-25.614763122666464</v>
      </c>
      <c r="I54" s="41">
        <f t="shared" si="5"/>
        <v>3.1199491847699239</v>
      </c>
      <c r="J54" s="41">
        <f t="shared" si="6"/>
        <v>-17.50100724701986</v>
      </c>
      <c r="K54" s="41">
        <f t="shared" si="7"/>
        <v>3.5879415624854123</v>
      </c>
      <c r="L54" s="41">
        <f t="shared" si="7"/>
        <v>-20.126158334072837</v>
      </c>
      <c r="M54" s="54">
        <f t="shared" si="8"/>
        <v>23.714099896558249</v>
      </c>
    </row>
    <row r="55" spans="2:13" x14ac:dyDescent="0.25">
      <c r="B55" s="40">
        <f t="shared" si="9"/>
        <v>48</v>
      </c>
      <c r="C55" s="42">
        <f>$D$2/MAX(B55:$B$67)*B55</f>
        <v>8.7999999999999989</v>
      </c>
      <c r="D55" s="41">
        <f t="shared" si="1"/>
        <v>2.9037690000000733</v>
      </c>
      <c r="E55" s="41">
        <f t="shared" si="2"/>
        <v>-17.292345839999847</v>
      </c>
      <c r="F55" s="41">
        <f t="shared" si="3"/>
        <v>-3.1415999999999995</v>
      </c>
      <c r="G55" s="41">
        <f t="shared" si="0"/>
        <v>0.7204127700000984</v>
      </c>
      <c r="H55" s="41">
        <f t="shared" si="4"/>
        <v>-26.140419967199797</v>
      </c>
      <c r="I55" s="41">
        <f t="shared" si="5"/>
        <v>2.9842848281399204</v>
      </c>
      <c r="J55" s="41">
        <f t="shared" si="6"/>
        <v>-17.772335960279868</v>
      </c>
      <c r="K55" s="41">
        <f t="shared" si="7"/>
        <v>3.4319275523609081</v>
      </c>
      <c r="L55" s="41">
        <f t="shared" si="7"/>
        <v>-20.438186354321846</v>
      </c>
      <c r="M55" s="54">
        <f t="shared" si="8"/>
        <v>23.870113906682754</v>
      </c>
    </row>
    <row r="56" spans="2:13" x14ac:dyDescent="0.25">
      <c r="B56" s="40">
        <f t="shared" si="9"/>
        <v>49</v>
      </c>
      <c r="C56" s="42">
        <f>$D$2/MAX(B56:$B$67)*B56</f>
        <v>8.9833333333333325</v>
      </c>
      <c r="D56" s="41">
        <f t="shared" si="1"/>
        <v>2.6397663600000669</v>
      </c>
      <c r="E56" s="41">
        <f t="shared" si="2"/>
        <v>-17.820351119999842</v>
      </c>
      <c r="F56" s="41">
        <f t="shared" si="3"/>
        <v>-3.3161333333333323</v>
      </c>
      <c r="G56" s="41">
        <f t="shared" si="0"/>
        <v>0.1947559254667568</v>
      </c>
      <c r="H56" s="41">
        <f t="shared" si="4"/>
        <v>-27.017200322933125</v>
      </c>
      <c r="I56" s="41">
        <f t="shared" si="5"/>
        <v>2.7129561148799137</v>
      </c>
      <c r="J56" s="41">
        <f t="shared" si="6"/>
        <v>-18.314993386799877</v>
      </c>
      <c r="K56" s="41">
        <f t="shared" si="7"/>
        <v>3.1198995321119005</v>
      </c>
      <c r="L56" s="41">
        <f t="shared" si="7"/>
        <v>-21.062242394819858</v>
      </c>
      <c r="M56" s="54">
        <f t="shared" si="8"/>
        <v>24.182141926931759</v>
      </c>
    </row>
    <row r="57" spans="2:13" x14ac:dyDescent="0.25">
      <c r="B57" s="40">
        <f t="shared" si="9"/>
        <v>50</v>
      </c>
      <c r="C57" s="42">
        <f>$D$2/MAX(B57:$B$67)*B57</f>
        <v>9.1666666666666661</v>
      </c>
      <c r="D57" s="41">
        <f t="shared" si="1"/>
        <v>2.3757637200000605</v>
      </c>
      <c r="E57" s="41">
        <f t="shared" si="2"/>
        <v>-18.348356399999833</v>
      </c>
      <c r="F57" s="41">
        <f t="shared" si="3"/>
        <v>-3.4906666666666668</v>
      </c>
      <c r="G57" s="41">
        <f t="shared" si="0"/>
        <v>-0.33090091906658614</v>
      </c>
      <c r="H57" s="41">
        <f t="shared" si="4"/>
        <v>-27.893980678666445</v>
      </c>
      <c r="I57" s="41">
        <f t="shared" si="5"/>
        <v>2.4416274016199071</v>
      </c>
      <c r="J57" s="41">
        <f t="shared" si="6"/>
        <v>-18.857650813319893</v>
      </c>
      <c r="K57" s="41">
        <f t="shared" si="7"/>
        <v>2.807871511862893</v>
      </c>
      <c r="L57" s="41">
        <f t="shared" si="7"/>
        <v>-21.686298435317877</v>
      </c>
      <c r="M57" s="54">
        <f t="shared" si="8"/>
        <v>24.494169947180769</v>
      </c>
    </row>
    <row r="58" spans="2:13" x14ac:dyDescent="0.25">
      <c r="B58" s="40">
        <f t="shared" si="9"/>
        <v>51</v>
      </c>
      <c r="C58" s="42">
        <f>$D$2/MAX(B58:$B$67)*B58</f>
        <v>9.35</v>
      </c>
      <c r="D58" s="41">
        <f t="shared" si="1"/>
        <v>2.1117610800000541</v>
      </c>
      <c r="E58" s="41">
        <f t="shared" si="2"/>
        <v>-18.876361679999828</v>
      </c>
      <c r="F58" s="41">
        <f t="shared" si="3"/>
        <v>-3.6651999999999996</v>
      </c>
      <c r="G58" s="41">
        <f t="shared" si="0"/>
        <v>-0.8565577635999273</v>
      </c>
      <c r="H58" s="41">
        <f t="shared" si="4"/>
        <v>-28.770761034399772</v>
      </c>
      <c r="I58" s="41">
        <f t="shared" si="5"/>
        <v>2.1702986883599009</v>
      </c>
      <c r="J58" s="41">
        <f t="shared" si="6"/>
        <v>-19.400308239839905</v>
      </c>
      <c r="K58" s="41">
        <f t="shared" si="7"/>
        <v>2.4958434916138859</v>
      </c>
      <c r="L58" s="41">
        <f t="shared" si="7"/>
        <v>-22.310354475815888</v>
      </c>
      <c r="M58" s="54">
        <f t="shared" si="8"/>
        <v>24.806197967429775</v>
      </c>
    </row>
    <row r="59" spans="2:13" x14ac:dyDescent="0.25">
      <c r="B59" s="40">
        <f t="shared" si="9"/>
        <v>52</v>
      </c>
      <c r="C59" s="42">
        <f>$D$2/MAX(B59:$B$67)*B59</f>
        <v>9.5333333333333332</v>
      </c>
      <c r="D59" s="41">
        <f t="shared" si="1"/>
        <v>1.8477584400000475</v>
      </c>
      <c r="E59" s="41">
        <f t="shared" si="2"/>
        <v>-19.40436695999982</v>
      </c>
      <c r="F59" s="41">
        <f t="shared" si="3"/>
        <v>-3.8397333333333323</v>
      </c>
      <c r="G59" s="41">
        <f t="shared" si="0"/>
        <v>-1.3822146081332689</v>
      </c>
      <c r="H59" s="41">
        <f t="shared" si="4"/>
        <v>-29.647541390133092</v>
      </c>
      <c r="I59" s="41">
        <f t="shared" si="5"/>
        <v>1.8989699750998943</v>
      </c>
      <c r="J59" s="41">
        <f t="shared" si="6"/>
        <v>-19.942965666359921</v>
      </c>
      <c r="K59" s="41">
        <f t="shared" si="7"/>
        <v>2.1838154713648783</v>
      </c>
      <c r="L59" s="41">
        <f t="shared" si="7"/>
        <v>-22.934410516313907</v>
      </c>
      <c r="M59" s="54">
        <f t="shared" si="8"/>
        <v>25.118225987678784</v>
      </c>
    </row>
    <row r="60" spans="2:13" x14ac:dyDescent="0.25">
      <c r="B60" s="40">
        <f t="shared" si="9"/>
        <v>53</v>
      </c>
      <c r="C60" s="42">
        <f>$D$2/MAX(B60:$B$67)*B60</f>
        <v>9.7166666666666668</v>
      </c>
      <c r="D60" s="41">
        <f t="shared" si="1"/>
        <v>1.5837558000000411</v>
      </c>
      <c r="E60" s="41">
        <f t="shared" si="2"/>
        <v>-19.932372239999818</v>
      </c>
      <c r="F60" s="41">
        <f t="shared" si="3"/>
        <v>-4.0142666666666669</v>
      </c>
      <c r="G60" s="41">
        <f t="shared" si="0"/>
        <v>-1.9078714526666118</v>
      </c>
      <c r="H60" s="41">
        <f t="shared" si="4"/>
        <v>-30.524321745866427</v>
      </c>
      <c r="I60" s="41">
        <f t="shared" si="5"/>
        <v>1.6276412618398874</v>
      </c>
      <c r="J60" s="41">
        <f t="shared" si="6"/>
        <v>-20.485623092879933</v>
      </c>
      <c r="K60" s="41">
        <f t="shared" si="7"/>
        <v>1.8717874511158703</v>
      </c>
      <c r="L60" s="41">
        <f t="shared" si="7"/>
        <v>-23.558466556811922</v>
      </c>
      <c r="M60" s="54">
        <f t="shared" si="8"/>
        <v>25.430254007927793</v>
      </c>
    </row>
    <row r="61" spans="2:13" x14ac:dyDescent="0.25">
      <c r="B61" s="40">
        <f t="shared" si="9"/>
        <v>54</v>
      </c>
      <c r="C61" s="42">
        <f>$D$2/MAX(B61:$B$67)*B61</f>
        <v>9.8999999999999986</v>
      </c>
      <c r="D61" s="41">
        <f t="shared" si="1"/>
        <v>1.4517544800000379</v>
      </c>
      <c r="E61" s="41">
        <f t="shared" si="2"/>
        <v>-20.196374879999816</v>
      </c>
      <c r="F61" s="41">
        <f t="shared" si="3"/>
        <v>-4.1887999999999979</v>
      </c>
      <c r="G61" s="41">
        <f t="shared" si="0"/>
        <v>-2.2579665415999473</v>
      </c>
      <c r="H61" s="41">
        <f t="shared" si="4"/>
        <v>-31.049978590399753</v>
      </c>
      <c r="I61" s="41">
        <f t="shared" si="5"/>
        <v>1.4919769052098841</v>
      </c>
      <c r="J61" s="41">
        <f t="shared" si="6"/>
        <v>-20.756951806139938</v>
      </c>
      <c r="K61" s="41">
        <f t="shared" si="7"/>
        <v>1.7157734409913665</v>
      </c>
      <c r="L61" s="41">
        <f t="shared" si="7"/>
        <v>-23.870494577060928</v>
      </c>
      <c r="M61" s="54">
        <f t="shared" si="8"/>
        <v>25.586268018052294</v>
      </c>
    </row>
    <row r="62" spans="2:13" x14ac:dyDescent="0.25">
      <c r="B62" s="40">
        <f t="shared" si="9"/>
        <v>55</v>
      </c>
      <c r="C62" s="42">
        <f>$D$2/MAX(B62:$B$67)*B62</f>
        <v>10.083333333333332</v>
      </c>
      <c r="D62" s="41">
        <f t="shared" si="1"/>
        <v>1.1877518400000313</v>
      </c>
      <c r="E62" s="41">
        <f t="shared" si="2"/>
        <v>-20.724380159999807</v>
      </c>
      <c r="F62" s="41">
        <f t="shared" si="3"/>
        <v>-4.3633333333333324</v>
      </c>
      <c r="G62" s="41">
        <f t="shared" si="0"/>
        <v>-2.7836233861332906</v>
      </c>
      <c r="H62" s="41">
        <f t="shared" si="4"/>
        <v>-31.926758946133077</v>
      </c>
      <c r="I62" s="41">
        <f t="shared" si="5"/>
        <v>1.2206481919498775</v>
      </c>
      <c r="J62" s="41">
        <f t="shared" si="6"/>
        <v>-21.299609232659954</v>
      </c>
      <c r="K62" s="41">
        <f t="shared" si="7"/>
        <v>1.403745420742359</v>
      </c>
      <c r="L62" s="41">
        <f t="shared" si="7"/>
        <v>-24.494550617558946</v>
      </c>
      <c r="M62" s="54">
        <f t="shared" si="8"/>
        <v>25.898296038301304</v>
      </c>
    </row>
    <row r="63" spans="2:13" x14ac:dyDescent="0.25">
      <c r="B63" s="40">
        <f t="shared" si="9"/>
        <v>56</v>
      </c>
      <c r="C63" s="42">
        <f>$D$2/MAX(B63:$B$67)*B63</f>
        <v>10.266666666666666</v>
      </c>
      <c r="D63" s="41">
        <f t="shared" si="1"/>
        <v>0.92374920000002492</v>
      </c>
      <c r="E63" s="41">
        <f t="shared" si="2"/>
        <v>-21.252385439999802</v>
      </c>
      <c r="F63" s="41">
        <f t="shared" si="3"/>
        <v>-4.5378666666666652</v>
      </c>
      <c r="G63" s="41">
        <f t="shared" si="0"/>
        <v>-3.3092802306666318</v>
      </c>
      <c r="H63" s="41">
        <f t="shared" si="4"/>
        <v>-32.803539301866401</v>
      </c>
      <c r="I63" s="41">
        <f t="shared" si="5"/>
        <v>0.94931947868987088</v>
      </c>
      <c r="J63" s="41">
        <f t="shared" si="6"/>
        <v>-21.842266659179966</v>
      </c>
      <c r="K63" s="41">
        <f t="shared" si="7"/>
        <v>1.0917174004933514</v>
      </c>
      <c r="L63" s="41">
        <f t="shared" si="7"/>
        <v>-25.118606658056958</v>
      </c>
      <c r="M63" s="54">
        <f t="shared" si="8"/>
        <v>26.210324058550309</v>
      </c>
    </row>
    <row r="64" spans="2:13" x14ac:dyDescent="0.25">
      <c r="B64" s="40">
        <f t="shared" si="9"/>
        <v>57</v>
      </c>
      <c r="C64" s="42">
        <f>$D$2/MAX(B64:$B$67)*B64</f>
        <v>10.45</v>
      </c>
      <c r="D64" s="41">
        <f t="shared" si="1"/>
        <v>0.65974656000001852</v>
      </c>
      <c r="E64" s="41">
        <f t="shared" si="2"/>
        <v>-21.780390719999794</v>
      </c>
      <c r="F64" s="41">
        <f t="shared" si="3"/>
        <v>-4.7123999999999997</v>
      </c>
      <c r="G64" s="41">
        <f t="shared" si="0"/>
        <v>-3.8349370751999752</v>
      </c>
      <c r="H64" s="41">
        <f t="shared" si="4"/>
        <v>-33.680319657599725</v>
      </c>
      <c r="I64" s="41">
        <f t="shared" si="5"/>
        <v>0.67799076542986425</v>
      </c>
      <c r="J64" s="41">
        <f t="shared" si="6"/>
        <v>-22.384924085699978</v>
      </c>
      <c r="K64" s="41">
        <f t="shared" si="7"/>
        <v>0.77968938024434387</v>
      </c>
      <c r="L64" s="41">
        <f t="shared" si="7"/>
        <v>-25.742662698554973</v>
      </c>
      <c r="M64" s="54">
        <f t="shared" si="8"/>
        <v>26.522352078799315</v>
      </c>
    </row>
    <row r="65" spans="2:15" x14ac:dyDescent="0.25">
      <c r="B65" s="40">
        <f t="shared" si="9"/>
        <v>58</v>
      </c>
      <c r="C65" s="42">
        <f>$D$2/MAX(B65:$B$67)*B65</f>
        <v>10.633333333333333</v>
      </c>
      <c r="D65" s="41">
        <f t="shared" si="1"/>
        <v>0.39574392000001202</v>
      </c>
      <c r="E65" s="41">
        <f t="shared" si="2"/>
        <v>-22.308395999999789</v>
      </c>
      <c r="F65" s="41">
        <f t="shared" si="3"/>
        <v>-4.8869333333333325</v>
      </c>
      <c r="G65" s="41">
        <f t="shared" si="0"/>
        <v>-4.3605939197333168</v>
      </c>
      <c r="H65" s="41">
        <f t="shared" si="4"/>
        <v>-34.557100013333056</v>
      </c>
      <c r="I65" s="41">
        <f t="shared" si="5"/>
        <v>0.40666205216985762</v>
      </c>
      <c r="J65" s="41">
        <f t="shared" si="6"/>
        <v>-22.927581512219994</v>
      </c>
      <c r="K65" s="41">
        <f t="shared" si="7"/>
        <v>0.46766135999533626</v>
      </c>
      <c r="L65" s="41">
        <f t="shared" si="7"/>
        <v>-26.366718739052992</v>
      </c>
      <c r="M65" s="54">
        <f t="shared" si="8"/>
        <v>26.834380099048328</v>
      </c>
    </row>
    <row r="66" spans="2:15" x14ac:dyDescent="0.25">
      <c r="B66" s="40">
        <f t="shared" si="9"/>
        <v>59</v>
      </c>
      <c r="C66" s="42">
        <f>$D$2/MAX(B66:$B$67)*B66</f>
        <v>10.816666666666666</v>
      </c>
      <c r="D66" s="41">
        <f t="shared" si="1"/>
        <v>0.13174128000000557</v>
      </c>
      <c r="E66" s="41">
        <f t="shared" si="2"/>
        <v>-22.836401279999784</v>
      </c>
      <c r="F66" s="41">
        <f t="shared" si="3"/>
        <v>-5.061466666666667</v>
      </c>
      <c r="G66" s="41">
        <f t="shared" si="0"/>
        <v>-4.8862507642666593</v>
      </c>
      <c r="H66" s="41">
        <f t="shared" si="4"/>
        <v>-35.43388036906638</v>
      </c>
      <c r="I66" s="41">
        <f t="shared" si="5"/>
        <v>0.13533333890985103</v>
      </c>
      <c r="J66" s="41">
        <f t="shared" si="6"/>
        <v>-23.470238938740003</v>
      </c>
      <c r="K66" s="41">
        <f t="shared" si="7"/>
        <v>0.15563333974632867</v>
      </c>
      <c r="L66" s="41">
        <f t="shared" si="7"/>
        <v>-26.990774779551003</v>
      </c>
      <c r="M66" s="54">
        <f t="shared" si="8"/>
        <v>27.14640811929733</v>
      </c>
    </row>
    <row r="67" spans="2:15" x14ac:dyDescent="0.25">
      <c r="B67" s="40">
        <f t="shared" si="9"/>
        <v>60</v>
      </c>
      <c r="C67" s="42">
        <f>$D$2/MAX(B67:$B$67)*B67</f>
        <v>11</v>
      </c>
      <c r="D67" s="41">
        <f t="shared" si="1"/>
        <v>0</v>
      </c>
      <c r="E67" s="41">
        <f t="shared" si="2"/>
        <v>-23.100403919999778</v>
      </c>
      <c r="F67" s="41">
        <f t="shared" si="3"/>
        <v>-5.2359999999999998</v>
      </c>
      <c r="G67" s="41">
        <f t="shared" si="0"/>
        <v>-5.2359999999999998</v>
      </c>
      <c r="H67" s="41">
        <f t="shared" si="4"/>
        <v>-35.959537213599702</v>
      </c>
      <c r="I67" s="41">
        <f t="shared" si="5"/>
        <v>0</v>
      </c>
      <c r="J67" s="41">
        <f t="shared" si="6"/>
        <v>-23.741567652000011</v>
      </c>
      <c r="K67" s="41">
        <f t="shared" si="7"/>
        <v>0</v>
      </c>
      <c r="L67" s="41">
        <f t="shared" si="7"/>
        <v>-27.302802799800009</v>
      </c>
      <c r="M67" s="54">
        <f t="shared" si="8"/>
        <v>27.302802799800009</v>
      </c>
    </row>
    <row r="68" spans="2:15" x14ac:dyDescent="0.25">
      <c r="B68" s="40"/>
      <c r="C68" s="40"/>
      <c r="D68" s="41">
        <f>MAX(D7:D67)</f>
        <v>24.155741610000028</v>
      </c>
      <c r="E68" s="41">
        <f>MIN(E7:E67)</f>
        <v>-23.100403919999778</v>
      </c>
      <c r="F68" s="40"/>
      <c r="G68" s="54">
        <f>MAX(G7:G67)</f>
        <v>37.363136341300034</v>
      </c>
      <c r="H68" s="54">
        <f>MIN(H7:H67)</f>
        <v>-35.959537213599702</v>
      </c>
      <c r="I68" s="41">
        <f t="shared" si="5"/>
        <v>24.011987423160171</v>
      </c>
      <c r="J68" s="41">
        <f t="shared" si="6"/>
        <v>0</v>
      </c>
      <c r="K68" s="41">
        <f>MAX(K7:K67)</f>
        <v>27.613785536634193</v>
      </c>
      <c r="L68" s="41">
        <f>MIN(L7:L67)</f>
        <v>-27.302802799800009</v>
      </c>
      <c r="M68" s="54">
        <f>MAX(M7:M67)</f>
        <v>27.613785536634193</v>
      </c>
      <c r="O68" s="22" t="s">
        <v>173</v>
      </c>
    </row>
    <row r="69" spans="2:15" x14ac:dyDescent="0.25">
      <c r="F69" s="23">
        <f>MAX(F7:F68)</f>
        <v>5.2359999999999998</v>
      </c>
    </row>
    <row r="70" spans="2:15" x14ac:dyDescent="0.25">
      <c r="F70" s="23">
        <f>MAX(D7:D67)</f>
        <v>24.155741610000028</v>
      </c>
    </row>
    <row r="71" spans="2:15" x14ac:dyDescent="0.25">
      <c r="F71" s="23">
        <f>+F69+F70</f>
        <v>29.391741610000029</v>
      </c>
    </row>
  </sheetData>
  <pageMargins left="0.7" right="0.7" top="0.75" bottom="0.75" header="0.3" footer="0.3"/>
  <pageSetup scale="70" orientation="portrait" r:id="rId1"/>
  <rowBreaks count="1" manualBreakCount="1">
    <brk id="67" min="1" max="12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load com</vt:lpstr>
      <vt:lpstr>var sizes</vt:lpstr>
      <vt:lpstr>fac. resitencia</vt:lpstr>
      <vt:lpstr>influencia momentos</vt:lpstr>
      <vt:lpstr>influencia corte (2)</vt:lpstr>
      <vt:lpstr>'influencia corte (2)'!Print_Area</vt:lpstr>
      <vt:lpstr>'influencia momentos'!Print_Area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</dc:creator>
  <cp:lastModifiedBy>USER</cp:lastModifiedBy>
  <cp:lastPrinted>2012-06-29T21:24:52Z</cp:lastPrinted>
  <dcterms:created xsi:type="dcterms:W3CDTF">2011-09-12T20:45:24Z</dcterms:created>
  <dcterms:modified xsi:type="dcterms:W3CDTF">2023-04-14T02:17:19Z</dcterms:modified>
</cp:coreProperties>
</file>